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DEB7E91C-FF31-4790-A2C6-D666E9D275E6}"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<sst xmlns="http://schemas.openxmlformats.org/spreadsheetml/2006/main" count="18" uniqueCount="18">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</sst>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1" fillId="6" borderId="0" xfId="6" applyFont="1" applyFill="1" applyBorder="1" applyAlignment="1">
      <alignment horizontal="right" vertical="center" indent="1"/>
    </xf>
    <xf numFmtId="0" fontId="11" fillId="6" borderId="6" xfId="6" applyFont="1" applyFill="1" applyBorder="1" applyAlignment="1">
      <alignment horizontal="right" vertical="center" indent="1"/>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E7" sqref="E7"/>
    </sheetView>
  </sheetViews>
  <sheetFormatPr baseColWidth="10" defaultColWidth="8.88671875" defaultRowHeight="13.5"/>
  <cols>
    <col min="1" max="1" width="2.77734375" customWidth="1"/>
    <col min="2" max="2" width="7.5546875" style="1" customWidth="1"/>
    <col min="3" max="8" width="15.6640625" style="1" customWidth="1"/>
    <col min="9" max="9" width="2.77734375" customWidth="1"/>
  </cols>
  <sheetData>
    <row r="1" spans="1:8" ht="60.75" customHeight="1">
      <c r="A1" s="15"/>
      <c r="B1" s="19" t="s">
        <v>0</v>
      </c>
      <c r="C1" s="19"/>
      <c r="D1" s="19"/>
      <c r="E1" s="19"/>
      <c r="F1" s="19"/>
      <c r="G1" s="19"/>
      <c r="H1" s="19"/>
    </row>
    <row r="2" spans="1:8" ht="9.75" customHeight="1">
      <c r="B2" s="2"/>
      <c r="C2" s="2"/>
      <c r="D2" s="2"/>
      <c r="E2" s="2"/>
      <c r="F2" s="2"/>
      <c r="G2" s="2"/>
      <c r="H2" s="2"/>
    </row>
    <row r="3" spans="1:8" ht="20.100000000000001" customHeight="1" thickBot="1">
      <c r="B3" s="18" t="s">
        <v>1</v>
      </c>
      <c r="C3" s="18"/>
      <c r="D3" s="18"/>
      <c r="E3"/>
      <c r="F3" s="18" t="s">
        <v>10</v>
      </c>
      <c r="G3" s="18"/>
      <c r="H3" s="18"/>
    </row>
    <row r="4" spans="1:8" ht="20.100000000000001" customHeight="1" thickTop="1">
      <c r="B4" s="17" t="s">
        <v>2</v>
      </c>
      <c r="C4" s="17"/>
      <c r="D4" s="3">
        <v>20000</v>
      </c>
      <c r="E4"/>
      <c r="F4" s="17" t="s">
        <v>11</v>
      </c>
      <c r="G4" s="17"/>
      <c r="H4" s="12">
        <f ca="1">IFERROR(IF(DarlehenIstGut,MonatlicheZahlung,""), "")</f>
        <v>217.05255592096145</v>
      </c>
    </row>
    <row r="5" spans="1:8" ht="20.100000000000001" customHeight="1">
      <c r="B5" s="16" t="s">
        <v>3</v>
      </c>
      <c r="C5" s="16"/>
      <c r="D5" s="4">
        <v>5.5E-2</v>
      </c>
      <c r="E5"/>
      <c r="F5" s="16" t="s">
        <v>12</v>
      </c>
      <c r="G5" s="16"/>
      <c r="H5" s="13">
        <f ca="1">IFERROR(IF(DarlehenIstGut,DarlehensJahre*12,""), "")</f>
        <v>120</v>
      </c>
    </row>
    <row r="6" spans="1:8" ht="20.100000000000001" customHeight="1">
      <c r="B6" s="16" t="s">
        <v>4</v>
      </c>
      <c r="C6" s="16"/>
      <c r="D6" s="5">
        <v>10</v>
      </c>
      <c r="E6"/>
      <c r="F6" s="16" t="s">
        <v>13</v>
      </c>
      <c r="G6" s="16"/>
      <c r="H6" s="14">
        <f ca="1">IFERROR(IF(DarlehenIstGut,DarlehensKostenGesamt-DarlehensBetrag,""), "")</f>
        <v>6046.306710515375</v>
      </c>
    </row>
    <row r="7" spans="1:8" ht="20.100000000000001" customHeight="1">
      <c r="B7" s="16" t="s">
        <v>5</v>
      </c>
      <c r="C7" s="16"/>
      <c r="D7" s="6">
        <f ca="1">TODAY()</f>
        <v>44152</v>
      </c>
      <c r="E7"/>
      <c r="F7" s="16" t="s">
        <v>14</v>
      </c>
      <c r="G7" s="16"/>
      <c r="H7" s="14">
        <f ca="1">IFERROR(IF(DarlehenIstGut,MonatlicheZahlung*AnzahlZahlungen,""), "")</f>
        <v>26046.306710515375</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44182</v>
      </c>
      <c r="D10" s="11">
        <f ca="1">IFERROR(IF(DarlehenNichtBezahlt*DarlehenIstGut,DarlehensWert,""), "")</f>
        <v>20000</v>
      </c>
      <c r="E10" s="11">
        <f ca="1">IFERROR(IF(DarlehenNichtBezahlt*DarlehenIstGut,MonatlicheZahlung,""), "")</f>
        <v>217.05255592096145</v>
      </c>
      <c r="F10" s="11">
        <f ca="1">IFERROR(IF(DarlehenNichtBezahlt*DarlehenIstGut,Kapital,""), "")</f>
        <v>125.38588925429478</v>
      </c>
      <c r="G10" s="11">
        <f ca="1">IFERROR(IF(DarlehenNichtBezahlt*DarlehenIstGut,ZinsBetrag,""), "")</f>
        <v>91.666666666666671</v>
      </c>
      <c r="H10" s="11">
        <f ca="1">IFERROR(IF(DarlehenNichtBezahlt*DarlehenIstGut,AbschlussSaldo,""), "")</f>
        <v>19874.614110745704</v>
      </c>
    </row>
    <row r="11" spans="1:8" ht="20.100000000000001" customHeight="1">
      <c r="B11" s="9">
        <f ca="1">IFERROR(IF(DarlehenNichtBezahlt*DarlehenIstGut,ZahlungNummer,""), "")</f>
        <v>2</v>
      </c>
      <c r="C11" s="10">
        <f ca="1">IFERROR(IF(DarlehenNichtBezahlt*DarlehenIstGut,ZahlungsDatum,""), "")</f>
        <v>44213</v>
      </c>
      <c r="D11" s="11">
        <f ca="1">IFERROR(IF(DarlehenNichtBezahlt*DarlehenIstGut,DarlehensWert,""), "")</f>
        <v>19874.614110745704</v>
      </c>
      <c r="E11" s="11">
        <f ca="1">IFERROR(IF(DarlehenNichtBezahlt*DarlehenIstGut,MonatlicheZahlung,""), "")</f>
        <v>217.05255592096145</v>
      </c>
      <c r="F11" s="11">
        <f ca="1">IFERROR(IF(DarlehenNichtBezahlt*DarlehenIstGut,Kapital,""), "")</f>
        <v>125.96057458004364</v>
      </c>
      <c r="G11" s="11">
        <f ca="1">IFERROR(IF(DarlehenNichtBezahlt*DarlehenIstGut,ZinsBetrag,""), "")</f>
        <v>91.091981340917812</v>
      </c>
      <c r="H11" s="11">
        <f ca="1">IFERROR(IF(DarlehenNichtBezahlt*DarlehenIstGut,AbschlussSaldo,""), "")</f>
        <v>19748.653536165661</v>
      </c>
    </row>
    <row r="12" spans="1:8" ht="20.100000000000001" customHeight="1">
      <c r="B12" s="9">
        <f ca="1">IFERROR(IF(DarlehenNichtBezahlt*DarlehenIstGut,ZahlungNummer,""), "")</f>
        <v>3</v>
      </c>
      <c r="C12" s="10">
        <f ca="1">IFERROR(IF(DarlehenNichtBezahlt*DarlehenIstGut,ZahlungsDatum,""), "")</f>
        <v>44244</v>
      </c>
      <c r="D12" s="11">
        <f ca="1">IFERROR(IF(DarlehenNichtBezahlt*DarlehenIstGut,DarlehensWert,""), "")</f>
        <v>19748.653536165661</v>
      </c>
      <c r="E12" s="11">
        <f ca="1">IFERROR(IF(DarlehenNichtBezahlt*DarlehenIstGut,MonatlicheZahlung,""), "")</f>
        <v>217.05255592096145</v>
      </c>
      <c r="F12" s="11">
        <f ca="1">IFERROR(IF(DarlehenNichtBezahlt*DarlehenIstGut,Kapital,""), "")</f>
        <v>126.53789388020219</v>
      </c>
      <c r="G12" s="11">
        <f ca="1">IFERROR(IF(DarlehenNichtBezahlt*DarlehenIstGut,ZinsBetrag,""), "")</f>
        <v>90.514662040759291</v>
      </c>
      <c r="H12" s="11">
        <f ca="1">IFERROR(IF(DarlehenNichtBezahlt*DarlehenIstGut,AbschlussSaldo,""), "")</f>
        <v>19622.115642285458</v>
      </c>
    </row>
    <row r="13" spans="1:8" ht="20.100000000000001" customHeight="1">
      <c r="B13" s="9">
        <f ca="1">IFERROR(IF(DarlehenNichtBezahlt*DarlehenIstGut,ZahlungNummer,""), "")</f>
        <v>4</v>
      </c>
      <c r="C13" s="10">
        <f ca="1">IFERROR(IF(DarlehenNichtBezahlt*DarlehenIstGut,ZahlungsDatum,""), "")</f>
        <v>44272</v>
      </c>
      <c r="D13" s="11">
        <f ca="1">IFERROR(IF(DarlehenNichtBezahlt*DarlehenIstGut,DarlehensWert,""), "")</f>
        <v>19622.115642285458</v>
      </c>
      <c r="E13" s="11">
        <f ca="1">IFERROR(IF(DarlehenNichtBezahlt*DarlehenIstGut,MonatlicheZahlung,""), "")</f>
        <v>217.05255592096145</v>
      </c>
      <c r="F13" s="11">
        <f ca="1">IFERROR(IF(DarlehenNichtBezahlt*DarlehenIstGut,Kapital,""), "")</f>
        <v>127.11785922715312</v>
      </c>
      <c r="G13" s="11">
        <f ca="1">IFERROR(IF(DarlehenNichtBezahlt*DarlehenIstGut,ZinsBetrag,""), "")</f>
        <v>89.934696693808334</v>
      </c>
      <c r="H13" s="11">
        <f ca="1">IFERROR(IF(DarlehenNichtBezahlt*DarlehenIstGut,AbschlussSaldo,""), "")</f>
        <v>19494.997783058305</v>
      </c>
    </row>
    <row r="14" spans="1:8" ht="20.100000000000001" customHeight="1">
      <c r="B14" s="9">
        <f ca="1">IFERROR(IF(DarlehenNichtBezahlt*DarlehenIstGut,ZahlungNummer,""), "")</f>
        <v>5</v>
      </c>
      <c r="C14" s="10">
        <f ca="1">IFERROR(IF(DarlehenNichtBezahlt*DarlehenIstGut,ZahlungsDatum,""), "")</f>
        <v>44303</v>
      </c>
      <c r="D14" s="11">
        <f ca="1">IFERROR(IF(DarlehenNichtBezahlt*DarlehenIstGut,DarlehensWert,""), "")</f>
        <v>19494.997783058305</v>
      </c>
      <c r="E14" s="11">
        <f ca="1">IFERROR(IF(DarlehenNichtBezahlt*DarlehenIstGut,MonatlicheZahlung,""), "")</f>
        <v>217.05255592096145</v>
      </c>
      <c r="F14" s="11">
        <f ca="1">IFERROR(IF(DarlehenNichtBezahlt*DarlehenIstGut,Kapital,""), "")</f>
        <v>127.70048274861091</v>
      </c>
      <c r="G14" s="11">
        <f ca="1">IFERROR(IF(DarlehenNichtBezahlt*DarlehenIstGut,ZinsBetrag,""), "")</f>
        <v>89.352073172350543</v>
      </c>
      <c r="H14" s="11">
        <f ca="1">IFERROR(IF(DarlehenNichtBezahlt*DarlehenIstGut,AbschlussSaldo,""), "")</f>
        <v>19367.297300309692</v>
      </c>
    </row>
    <row r="15" spans="1:8" ht="20.100000000000001" customHeight="1">
      <c r="B15" s="9">
        <f ca="1">IFERROR(IF(DarlehenNichtBezahlt*DarlehenIstGut,ZahlungNummer,""), "")</f>
        <v>6</v>
      </c>
      <c r="C15" s="10">
        <f ca="1">IFERROR(IF(DarlehenNichtBezahlt*DarlehenIstGut,ZahlungsDatum,""), "")</f>
        <v>44333</v>
      </c>
      <c r="D15" s="11">
        <f ca="1">IFERROR(IF(DarlehenNichtBezahlt*DarlehenIstGut,DarlehensWert,""), "")</f>
        <v>19367.297300309692</v>
      </c>
      <c r="E15" s="11">
        <f ca="1">IFERROR(IF(DarlehenNichtBezahlt*DarlehenIstGut,MonatlicheZahlung,""), "")</f>
        <v>217.05255592096145</v>
      </c>
      <c r="F15" s="11">
        <f ca="1">IFERROR(IF(DarlehenNichtBezahlt*DarlehenIstGut,Kapital,""), "")</f>
        <v>128.28577662787535</v>
      </c>
      <c r="G15" s="11">
        <f ca="1">IFERROR(IF(DarlehenNichtBezahlt*DarlehenIstGut,ZinsBetrag,""), "")</f>
        <v>88.766779293086088</v>
      </c>
      <c r="H15" s="11">
        <f ca="1">IFERROR(IF(DarlehenNichtBezahlt*DarlehenIstGut,AbschlussSaldo,""), "")</f>
        <v>19239.011523681816</v>
      </c>
    </row>
    <row r="16" spans="1:8" ht="20.100000000000001" customHeight="1">
      <c r="B16" s="9">
        <f ca="1">IFERROR(IF(DarlehenNichtBezahlt*DarlehenIstGut,ZahlungNummer,""), "")</f>
        <v>7</v>
      </c>
      <c r="C16" s="10">
        <f ca="1">IFERROR(IF(DarlehenNichtBezahlt*DarlehenIstGut,ZahlungsDatum,""), "")</f>
        <v>44364</v>
      </c>
      <c r="D16" s="11">
        <f ca="1">IFERROR(IF(DarlehenNichtBezahlt*DarlehenIstGut,DarlehensWert,""), "")</f>
        <v>19239.011523681816</v>
      </c>
      <c r="E16" s="11">
        <f ca="1">IFERROR(IF(DarlehenNichtBezahlt*DarlehenIstGut,MonatlicheZahlung,""), "")</f>
        <v>217.05255592096145</v>
      </c>
      <c r="F16" s="11">
        <f ca="1">IFERROR(IF(DarlehenNichtBezahlt*DarlehenIstGut,Kapital,""), "")</f>
        <v>128.87375310408646</v>
      </c>
      <c r="G16" s="11">
        <f ca="1">IFERROR(IF(DarlehenNichtBezahlt*DarlehenIstGut,ZinsBetrag,""), "")</f>
        <v>88.178802816874992</v>
      </c>
      <c r="H16" s="11">
        <f ca="1">IFERROR(IF(DarlehenNichtBezahlt*DarlehenIstGut,AbschlussSaldo,""), "")</f>
        <v>19110.137770577734</v>
      </c>
    </row>
    <row r="17" spans="2:8" ht="20.100000000000001" customHeight="1">
      <c r="B17" s="9">
        <f ca="1">IFERROR(IF(DarlehenNichtBezahlt*DarlehenIstGut,ZahlungNummer,""), "")</f>
        <v>8</v>
      </c>
      <c r="C17" s="10">
        <f ca="1">IFERROR(IF(DarlehenNichtBezahlt*DarlehenIstGut,ZahlungsDatum,""), "")</f>
        <v>44394</v>
      </c>
      <c r="D17" s="11">
        <f ca="1">IFERROR(IF(DarlehenNichtBezahlt*DarlehenIstGut,DarlehensWert,""), "")</f>
        <v>19110.137770577734</v>
      </c>
      <c r="E17" s="11">
        <f ca="1">IFERROR(IF(DarlehenNichtBezahlt*DarlehenIstGut,MonatlicheZahlung,""), "")</f>
        <v>217.05255592096145</v>
      </c>
      <c r="F17" s="11">
        <f ca="1">IFERROR(IF(DarlehenNichtBezahlt*DarlehenIstGut,Kapital,""), "")</f>
        <v>129.46442447248018</v>
      </c>
      <c r="G17" s="11">
        <f ca="1">IFERROR(IF(DarlehenNichtBezahlt*DarlehenIstGut,ZinsBetrag,""), "")</f>
        <v>87.588131448481263</v>
      </c>
      <c r="H17" s="11">
        <f ca="1">IFERROR(IF(DarlehenNichtBezahlt*DarlehenIstGut,AbschlussSaldo,""), "")</f>
        <v>18980.67334610525</v>
      </c>
    </row>
    <row r="18" spans="2:8" ht="20.100000000000001" customHeight="1">
      <c r="B18" s="9">
        <f ca="1">IFERROR(IF(DarlehenNichtBezahlt*DarlehenIstGut,ZahlungNummer,""), "")</f>
        <v>9</v>
      </c>
      <c r="C18" s="10">
        <f ca="1">IFERROR(IF(DarlehenNichtBezahlt*DarlehenIstGut,ZahlungsDatum,""), "")</f>
        <v>44425</v>
      </c>
      <c r="D18" s="11">
        <f ca="1">IFERROR(IF(DarlehenNichtBezahlt*DarlehenIstGut,DarlehensWert,""), "")</f>
        <v>18980.67334610525</v>
      </c>
      <c r="E18" s="11">
        <f ca="1">IFERROR(IF(DarlehenNichtBezahlt*DarlehenIstGut,MonatlicheZahlung,""), "")</f>
        <v>217.05255592096145</v>
      </c>
      <c r="F18" s="11">
        <f ca="1">IFERROR(IF(DarlehenNichtBezahlt*DarlehenIstGut,Kapital,""), "")</f>
        <v>130.05780308464574</v>
      </c>
      <c r="G18" s="11">
        <f ca="1">IFERROR(IF(DarlehenNichtBezahlt*DarlehenIstGut,ZinsBetrag,""), "")</f>
        <v>86.994752836315726</v>
      </c>
      <c r="H18" s="11">
        <f ca="1">IFERROR(IF(DarlehenNichtBezahlt*DarlehenIstGut,AbschlussSaldo,""), "")</f>
        <v>18850.615543020605</v>
      </c>
    </row>
    <row r="19" spans="2:8" ht="20.100000000000001" customHeight="1">
      <c r="B19" s="9">
        <f ca="1">IFERROR(IF(DarlehenNichtBezahlt*DarlehenIstGut,ZahlungNummer,""), "")</f>
        <v>10</v>
      </c>
      <c r="C19" s="10">
        <f ca="1">IFERROR(IF(DarlehenNichtBezahlt*DarlehenIstGut,ZahlungsDatum,""), "")</f>
        <v>44456</v>
      </c>
      <c r="D19" s="11">
        <f ca="1">IFERROR(IF(DarlehenNichtBezahlt*DarlehenIstGut,DarlehensWert,""), "")</f>
        <v>18850.615543020605</v>
      </c>
      <c r="E19" s="11">
        <f ca="1">IFERROR(IF(DarlehenNichtBezahlt*DarlehenIstGut,MonatlicheZahlung,""), "")</f>
        <v>217.05255592096145</v>
      </c>
      <c r="F19" s="11">
        <f ca="1">IFERROR(IF(DarlehenNichtBezahlt*DarlehenIstGut,Kapital,""), "")</f>
        <v>130.65390134878368</v>
      </c>
      <c r="G19" s="11">
        <f ca="1">IFERROR(IF(DarlehenNichtBezahlt*DarlehenIstGut,ZinsBetrag,""), "")</f>
        <v>86.398654572177776</v>
      </c>
      <c r="H19" s="11">
        <f ca="1">IFERROR(IF(DarlehenNichtBezahlt*DarlehenIstGut,AbschlussSaldo,""), "")</f>
        <v>18719.96164167182</v>
      </c>
    </row>
    <row r="20" spans="2:8" ht="20.100000000000001" customHeight="1">
      <c r="B20" s="9">
        <f ca="1">IFERROR(IF(DarlehenNichtBezahlt*DarlehenIstGut,ZahlungNummer,""), "")</f>
        <v>11</v>
      </c>
      <c r="C20" s="10">
        <f ca="1">IFERROR(IF(DarlehenNichtBezahlt*DarlehenIstGut,ZahlungsDatum,""), "")</f>
        <v>44486</v>
      </c>
      <c r="D20" s="11">
        <f ca="1">IFERROR(IF(DarlehenNichtBezahlt*DarlehenIstGut,DarlehensWert,""), "")</f>
        <v>18719.96164167182</v>
      </c>
      <c r="E20" s="11">
        <f ca="1">IFERROR(IF(DarlehenNichtBezahlt*DarlehenIstGut,MonatlicheZahlung,""), "")</f>
        <v>217.05255592096145</v>
      </c>
      <c r="F20" s="11">
        <f ca="1">IFERROR(IF(DarlehenNichtBezahlt*DarlehenIstGut,Kapital,""), "")</f>
        <v>131.2527317299656</v>
      </c>
      <c r="G20" s="11">
        <f ca="1">IFERROR(IF(DarlehenNichtBezahlt*DarlehenIstGut,ZinsBetrag,""), "")</f>
        <v>85.799824190995835</v>
      </c>
      <c r="H20" s="11">
        <f ca="1">IFERROR(IF(DarlehenNichtBezahlt*DarlehenIstGut,AbschlussSaldo,""), "")</f>
        <v>18588.708909941855</v>
      </c>
    </row>
    <row r="21" spans="2:8" ht="20.100000000000001" customHeight="1">
      <c r="B21" s="9">
        <f ca="1">IFERROR(IF(DarlehenNichtBezahlt*DarlehenIstGut,ZahlungNummer,""), "")</f>
        <v>12</v>
      </c>
      <c r="C21" s="10">
        <f ca="1">IFERROR(IF(DarlehenNichtBezahlt*DarlehenIstGut,ZahlungsDatum,""), "")</f>
        <v>44517</v>
      </c>
      <c r="D21" s="11">
        <f ca="1">IFERROR(IF(DarlehenNichtBezahlt*DarlehenIstGut,DarlehensWert,""), "")</f>
        <v>18588.708909941855</v>
      </c>
      <c r="E21" s="11">
        <f ca="1">IFERROR(IF(DarlehenNichtBezahlt*DarlehenIstGut,MonatlicheZahlung,""), "")</f>
        <v>217.05255592096145</v>
      </c>
      <c r="F21" s="11">
        <f ca="1">IFERROR(IF(DarlehenNichtBezahlt*DarlehenIstGut,Kapital,""), "")</f>
        <v>131.85430675039464</v>
      </c>
      <c r="G21" s="11">
        <f ca="1">IFERROR(IF(DarlehenNichtBezahlt*DarlehenIstGut,ZinsBetrag,""), "")</f>
        <v>85.198249170566839</v>
      </c>
      <c r="H21" s="11">
        <f ca="1">IFERROR(IF(DarlehenNichtBezahlt*DarlehenIstGut,AbschlussSaldo,""), "")</f>
        <v>18456.854603191467</v>
      </c>
    </row>
    <row r="22" spans="2:8" ht="20.100000000000001" customHeight="1">
      <c r="B22" s="9">
        <f ca="1">IFERROR(IF(DarlehenNichtBezahlt*DarlehenIstGut,ZahlungNummer,""), "")</f>
        <v>13</v>
      </c>
      <c r="C22" s="10">
        <f ca="1">IFERROR(IF(DarlehenNichtBezahlt*DarlehenIstGut,ZahlungsDatum,""), "")</f>
        <v>44547</v>
      </c>
      <c r="D22" s="11">
        <f ca="1">IFERROR(IF(DarlehenNichtBezahlt*DarlehenIstGut,DarlehensWert,""), "")</f>
        <v>18456.854603191467</v>
      </c>
      <c r="E22" s="11">
        <f ca="1">IFERROR(IF(DarlehenNichtBezahlt*DarlehenIstGut,MonatlicheZahlung,""), "")</f>
        <v>217.05255592096145</v>
      </c>
      <c r="F22" s="11">
        <f ca="1">IFERROR(IF(DarlehenNichtBezahlt*DarlehenIstGut,Kapital,""), "")</f>
        <v>132.45863898966724</v>
      </c>
      <c r="G22" s="11">
        <f ca="1">IFERROR(IF(DarlehenNichtBezahlt*DarlehenIstGut,ZinsBetrag,""), "")</f>
        <v>84.593916931294189</v>
      </c>
      <c r="H22" s="11">
        <f ca="1">IFERROR(IF(DarlehenNichtBezahlt*DarlehenIstGut,AbschlussSaldo,""), "")</f>
        <v>18324.395964201794</v>
      </c>
    </row>
    <row r="23" spans="2:8" ht="20.100000000000001" customHeight="1">
      <c r="B23" s="9">
        <f ca="1">IFERROR(IF(DarlehenNichtBezahlt*DarlehenIstGut,ZahlungNummer,""), "")</f>
        <v>14</v>
      </c>
      <c r="C23" s="10">
        <f ca="1">IFERROR(IF(DarlehenNichtBezahlt*DarlehenIstGut,ZahlungsDatum,""), "")</f>
        <v>44578</v>
      </c>
      <c r="D23" s="11">
        <f ca="1">IFERROR(IF(DarlehenNichtBezahlt*DarlehenIstGut,DarlehensWert,""), "")</f>
        <v>18324.395964201794</v>
      </c>
      <c r="E23" s="11">
        <f ca="1">IFERROR(IF(DarlehenNichtBezahlt*DarlehenIstGut,MonatlicheZahlung,""), "")</f>
        <v>217.05255592096145</v>
      </c>
      <c r="F23" s="11">
        <f ca="1">IFERROR(IF(DarlehenNichtBezahlt*DarlehenIstGut,Kapital,""), "")</f>
        <v>133.06574108503656</v>
      </c>
      <c r="G23" s="11">
        <f ca="1">IFERROR(IF(DarlehenNichtBezahlt*DarlehenIstGut,ZinsBetrag,""), "")</f>
        <v>83.986814835924875</v>
      </c>
      <c r="H23" s="11">
        <f ca="1">IFERROR(IF(DarlehenNichtBezahlt*DarlehenIstGut,AbschlussSaldo,""), "")</f>
        <v>18191.330223116754</v>
      </c>
    </row>
    <row r="24" spans="2:8" ht="20.100000000000001" customHeight="1">
      <c r="B24" s="9">
        <f ca="1">IFERROR(IF(DarlehenNichtBezahlt*DarlehenIstGut,ZahlungNummer,""), "")</f>
        <v>15</v>
      </c>
      <c r="C24" s="10">
        <f ca="1">IFERROR(IF(DarlehenNichtBezahlt*DarlehenIstGut,ZahlungsDatum,""), "")</f>
        <v>44609</v>
      </c>
      <c r="D24" s="11">
        <f ca="1">IFERROR(IF(DarlehenNichtBezahlt*DarlehenIstGut,DarlehensWert,""), "")</f>
        <v>18191.330223116754</v>
      </c>
      <c r="E24" s="11">
        <f ca="1">IFERROR(IF(DarlehenNichtBezahlt*DarlehenIstGut,MonatlicheZahlung,""), "")</f>
        <v>217.05255592096145</v>
      </c>
      <c r="F24" s="11">
        <f ca="1">IFERROR(IF(DarlehenNichtBezahlt*DarlehenIstGut,Kapital,""), "")</f>
        <v>133.67562573167632</v>
      </c>
      <c r="G24" s="11">
        <f ca="1">IFERROR(IF(DarlehenNichtBezahlt*DarlehenIstGut,ZinsBetrag,""), "")</f>
        <v>83.376930189285119</v>
      </c>
      <c r="H24" s="11">
        <f ca="1">IFERROR(IF(DarlehenNichtBezahlt*DarlehenIstGut,AbschlussSaldo,""), "")</f>
        <v>18057.654597385081</v>
      </c>
    </row>
    <row r="25" spans="2:8" ht="20.100000000000001" customHeight="1">
      <c r="B25" s="9">
        <f ca="1">IFERROR(IF(DarlehenNichtBezahlt*DarlehenIstGut,ZahlungNummer,""), "")</f>
        <v>16</v>
      </c>
      <c r="C25" s="10">
        <f ca="1">IFERROR(IF(DarlehenNichtBezahlt*DarlehenIstGut,ZahlungsDatum,""), "")</f>
        <v>44637</v>
      </c>
      <c r="D25" s="11">
        <f ca="1">IFERROR(IF(DarlehenNichtBezahlt*DarlehenIstGut,DarlehensWert,""), "")</f>
        <v>18057.654597385081</v>
      </c>
      <c r="E25" s="11">
        <f ca="1">IFERROR(IF(DarlehenNichtBezahlt*DarlehenIstGut,MonatlicheZahlung,""), "")</f>
        <v>217.05255592096145</v>
      </c>
      <c r="F25" s="11">
        <f ca="1">IFERROR(IF(DarlehenNichtBezahlt*DarlehenIstGut,Kapital,""), "")</f>
        <v>134.28830568294649</v>
      </c>
      <c r="G25" s="11">
        <f ca="1">IFERROR(IF(DarlehenNichtBezahlt*DarlehenIstGut,ZinsBetrag,""), "")</f>
        <v>82.764250238014952</v>
      </c>
      <c r="H25" s="11">
        <f ca="1">IFERROR(IF(DarlehenNichtBezahlt*DarlehenIstGut,AbschlussSaldo,""), "")</f>
        <v>17923.366291702136</v>
      </c>
    </row>
    <row r="26" spans="2:8" ht="20.100000000000001" customHeight="1">
      <c r="B26" s="9">
        <f ca="1">IFERROR(IF(DarlehenNichtBezahlt*DarlehenIstGut,ZahlungNummer,""), "")</f>
        <v>17</v>
      </c>
      <c r="C26" s="10">
        <f ca="1">IFERROR(IF(DarlehenNichtBezahlt*DarlehenIstGut,ZahlungsDatum,""), "")</f>
        <v>44668</v>
      </c>
      <c r="D26" s="11">
        <f ca="1">IFERROR(IF(DarlehenNichtBezahlt*DarlehenIstGut,DarlehensWert,""), "")</f>
        <v>17923.366291702136</v>
      </c>
      <c r="E26" s="11">
        <f ca="1">IFERROR(IF(DarlehenNichtBezahlt*DarlehenIstGut,MonatlicheZahlung,""), "")</f>
        <v>217.05255592096145</v>
      </c>
      <c r="F26" s="11">
        <f ca="1">IFERROR(IF(DarlehenNichtBezahlt*DarlehenIstGut,Kapital,""), "")</f>
        <v>134.90379375066001</v>
      </c>
      <c r="G26" s="11">
        <f ca="1">IFERROR(IF(DarlehenNichtBezahlt*DarlehenIstGut,ZinsBetrag,""), "")</f>
        <v>82.148762170301453</v>
      </c>
      <c r="H26" s="11">
        <f ca="1">IFERROR(IF(DarlehenNichtBezahlt*DarlehenIstGut,AbschlussSaldo,""), "")</f>
        <v>17788.46249795147</v>
      </c>
    </row>
    <row r="27" spans="2:8" ht="20.100000000000001" customHeight="1">
      <c r="B27" s="9">
        <f ca="1">IFERROR(IF(DarlehenNichtBezahlt*DarlehenIstGut,ZahlungNummer,""), "")</f>
        <v>18</v>
      </c>
      <c r="C27" s="10">
        <f ca="1">IFERROR(IF(DarlehenNichtBezahlt*DarlehenIstGut,ZahlungsDatum,""), "")</f>
        <v>44698</v>
      </c>
      <c r="D27" s="11">
        <f ca="1">IFERROR(IF(DarlehenNichtBezahlt*DarlehenIstGut,DarlehensWert,""), "")</f>
        <v>17788.46249795147</v>
      </c>
      <c r="E27" s="11">
        <f ca="1">IFERROR(IF(DarlehenNichtBezahlt*DarlehenIstGut,MonatlicheZahlung,""), "")</f>
        <v>217.05255592096145</v>
      </c>
      <c r="F27" s="11">
        <f ca="1">IFERROR(IF(DarlehenNichtBezahlt*DarlehenIstGut,Kapital,""), "")</f>
        <v>135.52210280535053</v>
      </c>
      <c r="G27" s="11">
        <f ca="1">IFERROR(IF(DarlehenNichtBezahlt*DarlehenIstGut,ZinsBetrag,""), "")</f>
        <v>81.530453115610925</v>
      </c>
      <c r="H27" s="11">
        <f ca="1">IFERROR(IF(DarlehenNichtBezahlt*DarlehenIstGut,AbschlussSaldo,""), "")</f>
        <v>17652.940395146121</v>
      </c>
    </row>
    <row r="28" spans="2:8" ht="20.100000000000001" customHeight="1">
      <c r="B28" s="9">
        <f ca="1">IFERROR(IF(DarlehenNichtBezahlt*DarlehenIstGut,ZahlungNummer,""), "")</f>
        <v>19</v>
      </c>
      <c r="C28" s="10">
        <f ca="1">IFERROR(IF(DarlehenNichtBezahlt*DarlehenIstGut,ZahlungsDatum,""), "")</f>
        <v>44729</v>
      </c>
      <c r="D28" s="11">
        <f ca="1">IFERROR(IF(DarlehenNichtBezahlt*DarlehenIstGut,DarlehensWert,""), "")</f>
        <v>17652.940395146121</v>
      </c>
      <c r="E28" s="11">
        <f ca="1">IFERROR(IF(DarlehenNichtBezahlt*DarlehenIstGut,MonatlicheZahlung,""), "")</f>
        <v>217.05255592096145</v>
      </c>
      <c r="F28" s="11">
        <f ca="1">IFERROR(IF(DarlehenNichtBezahlt*DarlehenIstGut,Kapital,""), "")</f>
        <v>136.1432457765417</v>
      </c>
      <c r="G28" s="11">
        <f ca="1">IFERROR(IF(DarlehenNichtBezahlt*DarlehenIstGut,ZinsBetrag,""), "")</f>
        <v>80.909310144419734</v>
      </c>
      <c r="H28" s="11">
        <f ca="1">IFERROR(IF(DarlehenNichtBezahlt*DarlehenIstGut,AbschlussSaldo,""), "")</f>
        <v>17516.797149369584</v>
      </c>
    </row>
    <row r="29" spans="2:8" ht="20.100000000000001" customHeight="1">
      <c r="B29" s="9">
        <f ca="1">IFERROR(IF(DarlehenNichtBezahlt*DarlehenIstGut,ZahlungNummer,""), "")</f>
        <v>20</v>
      </c>
      <c r="C29" s="10">
        <f ca="1">IFERROR(IF(DarlehenNichtBezahlt*DarlehenIstGut,ZahlungsDatum,""), "")</f>
        <v>44759</v>
      </c>
      <c r="D29" s="11">
        <f ca="1">IFERROR(IF(DarlehenNichtBezahlt*DarlehenIstGut,DarlehensWert,""), "")</f>
        <v>17516.797149369584</v>
      </c>
      <c r="E29" s="11">
        <f ca="1">IFERROR(IF(DarlehenNichtBezahlt*DarlehenIstGut,MonatlicheZahlung,""), "")</f>
        <v>217.05255592096145</v>
      </c>
      <c r="F29" s="11">
        <f ca="1">IFERROR(IF(DarlehenNichtBezahlt*DarlehenIstGut,Kapital,""), "")</f>
        <v>136.76723565301754</v>
      </c>
      <c r="G29" s="11">
        <f ca="1">IFERROR(IF(DarlehenNichtBezahlt*DarlehenIstGut,ZinsBetrag,""), "")</f>
        <v>80.285320267943931</v>
      </c>
      <c r="H29" s="11">
        <f ca="1">IFERROR(IF(DarlehenNichtBezahlt*DarlehenIstGut,AbschlussSaldo,""), "")</f>
        <v>17380.029913716564</v>
      </c>
    </row>
    <row r="30" spans="2:8" ht="20.100000000000001" customHeight="1">
      <c r="B30" s="9">
        <f ca="1">IFERROR(IF(DarlehenNichtBezahlt*DarlehenIstGut,ZahlungNummer,""), "")</f>
        <v>21</v>
      </c>
      <c r="C30" s="10">
        <f ca="1">IFERROR(IF(DarlehenNichtBezahlt*DarlehenIstGut,ZahlungsDatum,""), "")</f>
        <v>44790</v>
      </c>
      <c r="D30" s="11">
        <f ca="1">IFERROR(IF(DarlehenNichtBezahlt*DarlehenIstGut,DarlehensWert,""), "")</f>
        <v>17380.029913716564</v>
      </c>
      <c r="E30" s="11">
        <f ca="1">IFERROR(IF(DarlehenNichtBezahlt*DarlehenIstGut,MonatlicheZahlung,""), "")</f>
        <v>217.05255592096145</v>
      </c>
      <c r="F30" s="11">
        <f ca="1">IFERROR(IF(DarlehenNichtBezahlt*DarlehenIstGut,Kapital,""), "")</f>
        <v>137.39408548309385</v>
      </c>
      <c r="G30" s="11">
        <f ca="1">IFERROR(IF(DarlehenNichtBezahlt*DarlehenIstGut,ZinsBetrag,""), "")</f>
        <v>79.658470437867578</v>
      </c>
      <c r="H30" s="11">
        <f ca="1">IFERROR(IF(DarlehenNichtBezahlt*DarlehenIstGut,AbschlussSaldo,""), "")</f>
        <v>17242.63582823347</v>
      </c>
    </row>
    <row r="31" spans="2:8" ht="20.100000000000001" customHeight="1">
      <c r="B31" s="9">
        <f ca="1">IFERROR(IF(DarlehenNichtBezahlt*DarlehenIstGut,ZahlungNummer,""), "")</f>
        <v>22</v>
      </c>
      <c r="C31" s="10">
        <f ca="1">IFERROR(IF(DarlehenNichtBezahlt*DarlehenIstGut,ZahlungsDatum,""), "")</f>
        <v>44821</v>
      </c>
      <c r="D31" s="11">
        <f ca="1">IFERROR(IF(DarlehenNichtBezahlt*DarlehenIstGut,DarlehensWert,""), "")</f>
        <v>17242.63582823347</v>
      </c>
      <c r="E31" s="11">
        <f ca="1">IFERROR(IF(DarlehenNichtBezahlt*DarlehenIstGut,MonatlicheZahlung,""), "")</f>
        <v>217.05255592096145</v>
      </c>
      <c r="F31" s="11">
        <f ca="1">IFERROR(IF(DarlehenNichtBezahlt*DarlehenIstGut,Kapital,""), "")</f>
        <v>138.02380837489136</v>
      </c>
      <c r="G31" s="11">
        <f ca="1">IFERROR(IF(DarlehenNichtBezahlt*DarlehenIstGut,ZinsBetrag,""), "")</f>
        <v>79.028747546070079</v>
      </c>
      <c r="H31" s="11">
        <f ca="1">IFERROR(IF(DarlehenNichtBezahlt*DarlehenIstGut,AbschlussSaldo,""), "")</f>
        <v>17104.61201985857</v>
      </c>
    </row>
    <row r="32" spans="2:8" ht="20.100000000000001" customHeight="1">
      <c r="B32" s="9">
        <f ca="1">IFERROR(IF(DarlehenNichtBezahlt*DarlehenIstGut,ZahlungNummer,""), "")</f>
        <v>23</v>
      </c>
      <c r="C32" s="10">
        <f ca="1">IFERROR(IF(DarlehenNichtBezahlt*DarlehenIstGut,ZahlungsDatum,""), "")</f>
        <v>44851</v>
      </c>
      <c r="D32" s="11">
        <f ca="1">IFERROR(IF(DarlehenNichtBezahlt*DarlehenIstGut,DarlehensWert,""), "")</f>
        <v>17104.61201985857</v>
      </c>
      <c r="E32" s="11">
        <f ca="1">IFERROR(IF(DarlehenNichtBezahlt*DarlehenIstGut,MonatlicheZahlung,""), "")</f>
        <v>217.05255592096145</v>
      </c>
      <c r="F32" s="11">
        <f ca="1">IFERROR(IF(DarlehenNichtBezahlt*DarlehenIstGut,Kapital,""), "")</f>
        <v>138.65641749660963</v>
      </c>
      <c r="G32" s="11">
        <f ca="1">IFERROR(IF(DarlehenNichtBezahlt*DarlehenIstGut,ZinsBetrag,""), "")</f>
        <v>78.396138424351818</v>
      </c>
      <c r="H32" s="11">
        <f ca="1">IFERROR(IF(DarlehenNichtBezahlt*DarlehenIstGut,AbschlussSaldo,""), "")</f>
        <v>16965.955602361966</v>
      </c>
    </row>
    <row r="33" spans="2:8" ht="20.100000000000001" customHeight="1">
      <c r="B33" s="9">
        <f ca="1">IFERROR(IF(DarlehenNichtBezahlt*DarlehenIstGut,ZahlungNummer,""), "")</f>
        <v>24</v>
      </c>
      <c r="C33" s="10">
        <f ca="1">IFERROR(IF(DarlehenNichtBezahlt*DarlehenIstGut,ZahlungsDatum,""), "")</f>
        <v>44882</v>
      </c>
      <c r="D33" s="11">
        <f ca="1">IFERROR(IF(DarlehenNichtBezahlt*DarlehenIstGut,DarlehensWert,""), "")</f>
        <v>16965.955602361966</v>
      </c>
      <c r="E33" s="11">
        <f ca="1">IFERROR(IF(DarlehenNichtBezahlt*DarlehenIstGut,MonatlicheZahlung,""), "")</f>
        <v>217.05255592096145</v>
      </c>
      <c r="F33" s="11">
        <f ca="1">IFERROR(IF(DarlehenNichtBezahlt*DarlehenIstGut,Kapital,""), "")</f>
        <v>139.29192607680241</v>
      </c>
      <c r="G33" s="11">
        <f ca="1">IFERROR(IF(DarlehenNichtBezahlt*DarlehenIstGut,ZinsBetrag,""), "")</f>
        <v>77.760629844159013</v>
      </c>
      <c r="H33" s="11">
        <f ca="1">IFERROR(IF(DarlehenNichtBezahlt*DarlehenIstGut,AbschlussSaldo,""), "")</f>
        <v>16826.663676285163</v>
      </c>
    </row>
    <row r="34" spans="2:8" ht="20.100000000000001" customHeight="1">
      <c r="B34" s="9">
        <f ca="1">IFERROR(IF(DarlehenNichtBezahlt*DarlehenIstGut,ZahlungNummer,""), "")</f>
        <v>25</v>
      </c>
      <c r="C34" s="10">
        <f ca="1">IFERROR(IF(DarlehenNichtBezahlt*DarlehenIstGut,ZahlungsDatum,""), "")</f>
        <v>44912</v>
      </c>
      <c r="D34" s="11">
        <f ca="1">IFERROR(IF(DarlehenNichtBezahlt*DarlehenIstGut,DarlehensWert,""), "")</f>
        <v>16826.663676285163</v>
      </c>
      <c r="E34" s="11">
        <f ca="1">IFERROR(IF(DarlehenNichtBezahlt*DarlehenIstGut,MonatlicheZahlung,""), "")</f>
        <v>217.05255592096145</v>
      </c>
      <c r="F34" s="11">
        <f ca="1">IFERROR(IF(DarlehenNichtBezahlt*DarlehenIstGut,Kapital,""), "")</f>
        <v>139.93034740465444</v>
      </c>
      <c r="G34" s="11">
        <f ca="1">IFERROR(IF(DarlehenNichtBezahlt*DarlehenIstGut,ZinsBetrag,""), "")</f>
        <v>77.122208516307012</v>
      </c>
      <c r="H34" s="11">
        <f ca="1">IFERROR(IF(DarlehenNichtBezahlt*DarlehenIstGut,AbschlussSaldo,""), "")</f>
        <v>16686.733328880509</v>
      </c>
    </row>
    <row r="35" spans="2:8" ht="20.100000000000001" customHeight="1">
      <c r="B35" s="9">
        <f ca="1">IFERROR(IF(DarlehenNichtBezahlt*DarlehenIstGut,ZahlungNummer,""), "")</f>
        <v>26</v>
      </c>
      <c r="C35" s="10">
        <f ca="1">IFERROR(IF(DarlehenNichtBezahlt*DarlehenIstGut,ZahlungsDatum,""), "")</f>
        <v>44943</v>
      </c>
      <c r="D35" s="11">
        <f ca="1">IFERROR(IF(DarlehenNichtBezahlt*DarlehenIstGut,DarlehensWert,""), "")</f>
        <v>16686.733328880509</v>
      </c>
      <c r="E35" s="11">
        <f ca="1">IFERROR(IF(DarlehenNichtBezahlt*DarlehenIstGut,MonatlicheZahlung,""), "")</f>
        <v>217.05255592096145</v>
      </c>
      <c r="F35" s="11">
        <f ca="1">IFERROR(IF(DarlehenNichtBezahlt*DarlehenIstGut,Kapital,""), "")</f>
        <v>140.5716948302591</v>
      </c>
      <c r="G35" s="11">
        <f ca="1">IFERROR(IF(DarlehenNichtBezahlt*DarlehenIstGut,ZinsBetrag,""), "")</f>
        <v>76.480861090702348</v>
      </c>
      <c r="H35" s="11">
        <f ca="1">IFERROR(IF(DarlehenNichtBezahlt*DarlehenIstGut,AbschlussSaldo,""), "")</f>
        <v>16546.161634050251</v>
      </c>
    </row>
    <row r="36" spans="2:8" ht="20.100000000000001" customHeight="1">
      <c r="B36" s="9">
        <f ca="1">IFERROR(IF(DarlehenNichtBezahlt*DarlehenIstGut,ZahlungNummer,""), "")</f>
        <v>27</v>
      </c>
      <c r="C36" s="10">
        <f ca="1">IFERROR(IF(DarlehenNichtBezahlt*DarlehenIstGut,ZahlungsDatum,""), "")</f>
        <v>44974</v>
      </c>
      <c r="D36" s="11">
        <f ca="1">IFERROR(IF(DarlehenNichtBezahlt*DarlehenIstGut,DarlehensWert,""), "")</f>
        <v>16546.161634050251</v>
      </c>
      <c r="E36" s="11">
        <f ca="1">IFERROR(IF(DarlehenNichtBezahlt*DarlehenIstGut,MonatlicheZahlung,""), "")</f>
        <v>217.05255592096145</v>
      </c>
      <c r="F36" s="11">
        <f ca="1">IFERROR(IF(DarlehenNichtBezahlt*DarlehenIstGut,Kapital,""), "")</f>
        <v>141.2159817648978</v>
      </c>
      <c r="G36" s="11">
        <f ca="1">IFERROR(IF(DarlehenNichtBezahlt*DarlehenIstGut,ZinsBetrag,""), "")</f>
        <v>75.836574156063676</v>
      </c>
      <c r="H36" s="11">
        <f ca="1">IFERROR(IF(DarlehenNichtBezahlt*DarlehenIstGut,AbschlussSaldo,""), "")</f>
        <v>16404.945652285358</v>
      </c>
    </row>
    <row r="37" spans="2:8" ht="20.100000000000001" customHeight="1">
      <c r="B37" s="9">
        <f ca="1">IFERROR(IF(DarlehenNichtBezahlt*DarlehenIstGut,ZahlungNummer,""), "")</f>
        <v>28</v>
      </c>
      <c r="C37" s="10">
        <f ca="1">IFERROR(IF(DarlehenNichtBezahlt*DarlehenIstGut,ZahlungsDatum,""), "")</f>
        <v>45002</v>
      </c>
      <c r="D37" s="11">
        <f ca="1">IFERROR(IF(DarlehenNichtBezahlt*DarlehenIstGut,DarlehensWert,""), "")</f>
        <v>16404.945652285358</v>
      </c>
      <c r="E37" s="11">
        <f ca="1">IFERROR(IF(DarlehenNichtBezahlt*DarlehenIstGut,MonatlicheZahlung,""), "")</f>
        <v>217.05255592096145</v>
      </c>
      <c r="F37" s="11">
        <f ca="1">IFERROR(IF(DarlehenNichtBezahlt*DarlehenIstGut,Kapital,""), "")</f>
        <v>141.86322168132023</v>
      </c>
      <c r="G37" s="11">
        <f ca="1">IFERROR(IF(DarlehenNichtBezahlt*DarlehenIstGut,ZinsBetrag,""), "")</f>
        <v>75.189334239641227</v>
      </c>
      <c r="H37" s="11">
        <f ca="1">IFERROR(IF(DarlehenNichtBezahlt*DarlehenIstGut,AbschlussSaldo,""), "")</f>
        <v>16263.082430604034</v>
      </c>
    </row>
    <row r="38" spans="2:8" ht="20.100000000000001" customHeight="1">
      <c r="B38" s="9">
        <f ca="1">IFERROR(IF(DarlehenNichtBezahlt*DarlehenIstGut,ZahlungNummer,""), "")</f>
        <v>29</v>
      </c>
      <c r="C38" s="10">
        <f ca="1">IFERROR(IF(DarlehenNichtBezahlt*DarlehenIstGut,ZahlungsDatum,""), "")</f>
        <v>45033</v>
      </c>
      <c r="D38" s="11">
        <f ca="1">IFERROR(IF(DarlehenNichtBezahlt*DarlehenIstGut,DarlehensWert,""), "")</f>
        <v>16263.082430604034</v>
      </c>
      <c r="E38" s="11">
        <f ca="1">IFERROR(IF(DarlehenNichtBezahlt*DarlehenIstGut,MonatlicheZahlung,""), "")</f>
        <v>217.05255592096145</v>
      </c>
      <c r="F38" s="11">
        <f ca="1">IFERROR(IF(DarlehenNichtBezahlt*DarlehenIstGut,Kapital,""), "")</f>
        <v>142.51342811402628</v>
      </c>
      <c r="G38" s="11">
        <f ca="1">IFERROR(IF(DarlehenNichtBezahlt*DarlehenIstGut,ZinsBetrag,""), "")</f>
        <v>74.53912780693517</v>
      </c>
      <c r="H38" s="11">
        <f ca="1">IFERROR(IF(DarlehenNichtBezahlt*DarlehenIstGut,AbschlussSaldo,""), "")</f>
        <v>16120.569002490007</v>
      </c>
    </row>
    <row r="39" spans="2:8" ht="20.100000000000001" customHeight="1">
      <c r="B39" s="9">
        <f ca="1">IFERROR(IF(DarlehenNichtBezahlt*DarlehenIstGut,ZahlungNummer,""), "")</f>
        <v>30</v>
      </c>
      <c r="C39" s="10">
        <f ca="1">IFERROR(IF(DarlehenNichtBezahlt*DarlehenIstGut,ZahlungsDatum,""), "")</f>
        <v>45063</v>
      </c>
      <c r="D39" s="11">
        <f ca="1">IFERROR(IF(DarlehenNichtBezahlt*DarlehenIstGut,DarlehensWert,""), "")</f>
        <v>16120.569002490007</v>
      </c>
      <c r="E39" s="11">
        <f ca="1">IFERROR(IF(DarlehenNichtBezahlt*DarlehenIstGut,MonatlicheZahlung,""), "")</f>
        <v>217.05255592096145</v>
      </c>
      <c r="F39" s="11">
        <f ca="1">IFERROR(IF(DarlehenNichtBezahlt*DarlehenIstGut,Kapital,""), "")</f>
        <v>143.16661465954891</v>
      </c>
      <c r="G39" s="11">
        <f ca="1">IFERROR(IF(DarlehenNichtBezahlt*DarlehenIstGut,ZinsBetrag,""), "")</f>
        <v>73.88594126141254</v>
      </c>
      <c r="H39" s="11">
        <f ca="1">IFERROR(IF(DarlehenNichtBezahlt*DarlehenIstGut,AbschlussSaldo,""), "")</f>
        <v>15977.402387830458</v>
      </c>
    </row>
    <row r="40" spans="2:8" ht="20.100000000000001" customHeight="1">
      <c r="B40" s="9">
        <f ca="1">IFERROR(IF(DarlehenNichtBezahlt*DarlehenIstGut,ZahlungNummer,""), "")</f>
        <v>31</v>
      </c>
      <c r="C40" s="10">
        <f ca="1">IFERROR(IF(DarlehenNichtBezahlt*DarlehenIstGut,ZahlungsDatum,""), "")</f>
        <v>45094</v>
      </c>
      <c r="D40" s="11">
        <f ca="1">IFERROR(IF(DarlehenNichtBezahlt*DarlehenIstGut,DarlehensWert,""), "")</f>
        <v>15977.402387830458</v>
      </c>
      <c r="E40" s="11">
        <f ca="1">IFERROR(IF(DarlehenNichtBezahlt*DarlehenIstGut,MonatlicheZahlung,""), "")</f>
        <v>217.05255592096145</v>
      </c>
      <c r="F40" s="11">
        <f ca="1">IFERROR(IF(DarlehenNichtBezahlt*DarlehenIstGut,Kapital,""), "")</f>
        <v>143.82279497673852</v>
      </c>
      <c r="G40" s="11">
        <f ca="1">IFERROR(IF(DarlehenNichtBezahlt*DarlehenIstGut,ZinsBetrag,""), "")</f>
        <v>73.229760944222946</v>
      </c>
      <c r="H40" s="11">
        <f ca="1">IFERROR(IF(DarlehenNichtBezahlt*DarlehenIstGut,AbschlussSaldo,""), "")</f>
        <v>15833.579592853719</v>
      </c>
    </row>
    <row r="41" spans="2:8" ht="20.100000000000001" customHeight="1">
      <c r="B41" s="9">
        <f ca="1">IFERROR(IF(DarlehenNichtBezahlt*DarlehenIstGut,ZahlungNummer,""), "")</f>
        <v>32</v>
      </c>
      <c r="C41" s="10">
        <f ca="1">IFERROR(IF(DarlehenNichtBezahlt*DarlehenIstGut,ZahlungsDatum,""), "")</f>
        <v>45124</v>
      </c>
      <c r="D41" s="11">
        <f ca="1">IFERROR(IF(DarlehenNichtBezahlt*DarlehenIstGut,DarlehensWert,""), "")</f>
        <v>15833.579592853719</v>
      </c>
      <c r="E41" s="11">
        <f ca="1">IFERROR(IF(DarlehenNichtBezahlt*DarlehenIstGut,MonatlicheZahlung,""), "")</f>
        <v>217.05255592096145</v>
      </c>
      <c r="F41" s="11">
        <f ca="1">IFERROR(IF(DarlehenNichtBezahlt*DarlehenIstGut,Kapital,""), "")</f>
        <v>144.48198278704857</v>
      </c>
      <c r="G41" s="11">
        <f ca="1">IFERROR(IF(DarlehenNichtBezahlt*DarlehenIstGut,ZinsBetrag,""), "")</f>
        <v>72.570573133912887</v>
      </c>
      <c r="H41" s="11">
        <f ca="1">IFERROR(IF(DarlehenNichtBezahlt*DarlehenIstGut,AbschlussSaldo,""), "")</f>
        <v>15689.097610066668</v>
      </c>
    </row>
    <row r="42" spans="2:8" ht="20.100000000000001" customHeight="1">
      <c r="B42" s="9">
        <f ca="1">IFERROR(IF(DarlehenNichtBezahlt*DarlehenIstGut,ZahlungNummer,""), "")</f>
        <v>33</v>
      </c>
      <c r="C42" s="10">
        <f ca="1">IFERROR(IF(DarlehenNichtBezahlt*DarlehenIstGut,ZahlungsDatum,""), "")</f>
        <v>45155</v>
      </c>
      <c r="D42" s="11">
        <f ca="1">IFERROR(IF(DarlehenNichtBezahlt*DarlehenIstGut,DarlehensWert,""), "")</f>
        <v>15689.097610066668</v>
      </c>
      <c r="E42" s="11">
        <f ca="1">IFERROR(IF(DarlehenNichtBezahlt*DarlehenIstGut,MonatlicheZahlung,""), "")</f>
        <v>217.05255592096145</v>
      </c>
      <c r="F42" s="11">
        <f ca="1">IFERROR(IF(DarlehenNichtBezahlt*DarlehenIstGut,Kapital,""), "")</f>
        <v>145.14419187482255</v>
      </c>
      <c r="G42" s="11">
        <f ca="1">IFERROR(IF(DarlehenNichtBezahlt*DarlehenIstGut,ZinsBetrag,""), "")</f>
        <v>71.908364046138914</v>
      </c>
      <c r="H42" s="11">
        <f ca="1">IFERROR(IF(DarlehenNichtBezahlt*DarlehenIstGut,AbschlussSaldo,""), "")</f>
        <v>15543.953418191841</v>
      </c>
    </row>
    <row r="43" spans="2:8" ht="20.100000000000001" customHeight="1">
      <c r="B43" s="9">
        <f ca="1">IFERROR(IF(DarlehenNichtBezahlt*DarlehenIstGut,ZahlungNummer,""), "")</f>
        <v>34</v>
      </c>
      <c r="C43" s="10">
        <f ca="1">IFERROR(IF(DarlehenNichtBezahlt*DarlehenIstGut,ZahlungsDatum,""), "")</f>
        <v>45186</v>
      </c>
      <c r="D43" s="11">
        <f ca="1">IFERROR(IF(DarlehenNichtBezahlt*DarlehenIstGut,DarlehensWert,""), "")</f>
        <v>15543.953418191841</v>
      </c>
      <c r="E43" s="11">
        <f ca="1">IFERROR(IF(DarlehenNichtBezahlt*DarlehenIstGut,MonatlicheZahlung,""), "")</f>
        <v>217.05255592096145</v>
      </c>
      <c r="F43" s="11">
        <f ca="1">IFERROR(IF(DarlehenNichtBezahlt*DarlehenIstGut,Kapital,""), "")</f>
        <v>145.80943608758213</v>
      </c>
      <c r="G43" s="11">
        <f ca="1">IFERROR(IF(DarlehenNichtBezahlt*DarlehenIstGut,ZinsBetrag,""), "")</f>
        <v>71.243119833379311</v>
      </c>
      <c r="H43" s="11">
        <f ca="1">IFERROR(IF(DarlehenNichtBezahlt*DarlehenIstGut,AbschlussSaldo,""), "")</f>
        <v>15398.14398210426</v>
      </c>
    </row>
    <row r="44" spans="2:8" ht="20.100000000000001" customHeight="1">
      <c r="B44" s="9">
        <f ca="1">IFERROR(IF(DarlehenNichtBezahlt*DarlehenIstGut,ZahlungNummer,""), "")</f>
        <v>35</v>
      </c>
      <c r="C44" s="10">
        <f ca="1">IFERROR(IF(DarlehenNichtBezahlt*DarlehenIstGut,ZahlungsDatum,""), "")</f>
        <v>45216</v>
      </c>
      <c r="D44" s="11">
        <f ca="1">IFERROR(IF(DarlehenNichtBezahlt*DarlehenIstGut,DarlehensWert,""), "")</f>
        <v>15398.14398210426</v>
      </c>
      <c r="E44" s="11">
        <f ca="1">IFERROR(IF(DarlehenNichtBezahlt*DarlehenIstGut,MonatlicheZahlung,""), "")</f>
        <v>217.05255592096145</v>
      </c>
      <c r="F44" s="11">
        <f ca="1">IFERROR(IF(DarlehenNichtBezahlt*DarlehenIstGut,Kapital,""), "")</f>
        <v>146.47772933631688</v>
      </c>
      <c r="G44" s="11">
        <f ca="1">IFERROR(IF(DarlehenNichtBezahlt*DarlehenIstGut,ZinsBetrag,""), "")</f>
        <v>70.574826584644555</v>
      </c>
      <c r="H44" s="11">
        <f ca="1">IFERROR(IF(DarlehenNichtBezahlt*DarlehenIstGut,AbschlussSaldo,""), "")</f>
        <v>15251.666252767944</v>
      </c>
    </row>
    <row r="45" spans="2:8" ht="20.100000000000001" customHeight="1">
      <c r="B45" s="9">
        <f ca="1">IFERROR(IF(DarlehenNichtBezahlt*DarlehenIstGut,ZahlungNummer,""), "")</f>
        <v>36</v>
      </c>
      <c r="C45" s="10">
        <f ca="1">IFERROR(IF(DarlehenNichtBezahlt*DarlehenIstGut,ZahlungsDatum,""), "")</f>
        <v>45247</v>
      </c>
      <c r="D45" s="11">
        <f ca="1">IFERROR(IF(DarlehenNichtBezahlt*DarlehenIstGut,DarlehensWert,""), "")</f>
        <v>15251.666252767944</v>
      </c>
      <c r="E45" s="11">
        <f ca="1">IFERROR(IF(DarlehenNichtBezahlt*DarlehenIstGut,MonatlicheZahlung,""), "")</f>
        <v>217.05255592096145</v>
      </c>
      <c r="F45" s="11">
        <f ca="1">IFERROR(IF(DarlehenNichtBezahlt*DarlehenIstGut,Kapital,""), "")</f>
        <v>147.14908559577501</v>
      </c>
      <c r="G45" s="11">
        <f ca="1">IFERROR(IF(DarlehenNichtBezahlt*DarlehenIstGut,ZinsBetrag,""), "")</f>
        <v>69.903470325186447</v>
      </c>
      <c r="H45" s="11">
        <f ca="1">IFERROR(IF(DarlehenNichtBezahlt*DarlehenIstGut,AbschlussSaldo,""), "")</f>
        <v>15104.517167172169</v>
      </c>
    </row>
    <row r="46" spans="2:8" ht="20.100000000000001" customHeight="1">
      <c r="B46" s="9">
        <f ca="1">IFERROR(IF(DarlehenNichtBezahlt*DarlehenIstGut,ZahlungNummer,""), "")</f>
        <v>37</v>
      </c>
      <c r="C46" s="10">
        <f ca="1">IFERROR(IF(DarlehenNichtBezahlt*DarlehenIstGut,ZahlungsDatum,""), "")</f>
        <v>45277</v>
      </c>
      <c r="D46" s="11">
        <f ca="1">IFERROR(IF(DarlehenNichtBezahlt*DarlehenIstGut,DarlehensWert,""), "")</f>
        <v>15104.517167172169</v>
      </c>
      <c r="E46" s="11">
        <f ca="1">IFERROR(IF(DarlehenNichtBezahlt*DarlehenIstGut,MonatlicheZahlung,""), "")</f>
        <v>217.05255592096145</v>
      </c>
      <c r="F46" s="11">
        <f ca="1">IFERROR(IF(DarlehenNichtBezahlt*DarlehenIstGut,Kapital,""), "")</f>
        <v>147.82351890475564</v>
      </c>
      <c r="G46" s="11">
        <f ca="1">IFERROR(IF(DarlehenNichtBezahlt*DarlehenIstGut,ZinsBetrag,""), "")</f>
        <v>69.229037016205808</v>
      </c>
      <c r="H46" s="11">
        <f ca="1">IFERROR(IF(DarlehenNichtBezahlt*DarlehenIstGut,AbschlussSaldo,""), "")</f>
        <v>14956.69364826741</v>
      </c>
    </row>
    <row r="47" spans="2:8" ht="20.100000000000001" customHeight="1">
      <c r="B47" s="9">
        <f ca="1">IFERROR(IF(DarlehenNichtBezahlt*DarlehenIstGut,ZahlungNummer,""), "")</f>
        <v>38</v>
      </c>
      <c r="C47" s="10">
        <f ca="1">IFERROR(IF(DarlehenNichtBezahlt*DarlehenIstGut,ZahlungsDatum,""), "")</f>
        <v>45308</v>
      </c>
      <c r="D47" s="11">
        <f ca="1">IFERROR(IF(DarlehenNichtBezahlt*DarlehenIstGut,DarlehensWert,""), "")</f>
        <v>14956.69364826741</v>
      </c>
      <c r="E47" s="11">
        <f ca="1">IFERROR(IF(DarlehenNichtBezahlt*DarlehenIstGut,MonatlicheZahlung,""), "")</f>
        <v>217.05255592096145</v>
      </c>
      <c r="F47" s="11">
        <f ca="1">IFERROR(IF(DarlehenNichtBezahlt*DarlehenIstGut,Kapital,""), "")</f>
        <v>148.50104336640243</v>
      </c>
      <c r="G47" s="11">
        <f ca="1">IFERROR(IF(DarlehenNichtBezahlt*DarlehenIstGut,ZinsBetrag,""), "")</f>
        <v>68.551512554559011</v>
      </c>
      <c r="H47" s="11">
        <f ca="1">IFERROR(IF(DarlehenNichtBezahlt*DarlehenIstGut,AbschlussSaldo,""), "")</f>
        <v>14808.192604901005</v>
      </c>
    </row>
    <row r="48" spans="2:8" ht="20.100000000000001" customHeight="1">
      <c r="B48" s="9">
        <f ca="1">IFERROR(IF(DarlehenNichtBezahlt*DarlehenIstGut,ZahlungNummer,""), "")</f>
        <v>39</v>
      </c>
      <c r="C48" s="10">
        <f ca="1">IFERROR(IF(DarlehenNichtBezahlt*DarlehenIstGut,ZahlungsDatum,""), "")</f>
        <v>45339</v>
      </c>
      <c r="D48" s="11">
        <f ca="1">IFERROR(IF(DarlehenNichtBezahlt*DarlehenIstGut,DarlehensWert,""), "")</f>
        <v>14808.192604901005</v>
      </c>
      <c r="E48" s="11">
        <f ca="1">IFERROR(IF(DarlehenNichtBezahlt*DarlehenIstGut,MonatlicheZahlung,""), "")</f>
        <v>217.05255592096145</v>
      </c>
      <c r="F48" s="11">
        <f ca="1">IFERROR(IF(DarlehenNichtBezahlt*DarlehenIstGut,Kapital,""), "")</f>
        <v>149.18167314849845</v>
      </c>
      <c r="G48" s="11">
        <f ca="1">IFERROR(IF(DarlehenNichtBezahlt*DarlehenIstGut,ZinsBetrag,""), "")</f>
        <v>67.870882772463005</v>
      </c>
      <c r="H48" s="11">
        <f ca="1">IFERROR(IF(DarlehenNichtBezahlt*DarlehenIstGut,AbschlussSaldo,""), "")</f>
        <v>14659.010931752515</v>
      </c>
    </row>
    <row r="49" spans="2:8" ht="20.100000000000001" customHeight="1">
      <c r="B49" s="9">
        <f ca="1">IFERROR(IF(DarlehenNichtBezahlt*DarlehenIstGut,ZahlungNummer,""), "")</f>
        <v>40</v>
      </c>
      <c r="C49" s="10">
        <f ca="1">IFERROR(IF(DarlehenNichtBezahlt*DarlehenIstGut,ZahlungsDatum,""), "")</f>
        <v>45368</v>
      </c>
      <c r="D49" s="11">
        <f ca="1">IFERROR(IF(DarlehenNichtBezahlt*DarlehenIstGut,DarlehensWert,""), "")</f>
        <v>14659.010931752515</v>
      </c>
      <c r="E49" s="11">
        <f ca="1">IFERROR(IF(DarlehenNichtBezahlt*DarlehenIstGut,MonatlicheZahlung,""), "")</f>
        <v>217.05255592096145</v>
      </c>
      <c r="F49" s="11">
        <f ca="1">IFERROR(IF(DarlehenNichtBezahlt*DarlehenIstGut,Kapital,""), "")</f>
        <v>149.86542248376239</v>
      </c>
      <c r="G49" s="11">
        <f ca="1">IFERROR(IF(DarlehenNichtBezahlt*DarlehenIstGut,ZinsBetrag,""), "")</f>
        <v>67.187133437199051</v>
      </c>
      <c r="H49" s="11">
        <f ca="1">IFERROR(IF(DarlehenNichtBezahlt*DarlehenIstGut,AbschlussSaldo,""), "")</f>
        <v>14509.145509268752</v>
      </c>
    </row>
    <row r="50" spans="2:8" ht="20.100000000000001" customHeight="1">
      <c r="B50" s="9">
        <f ca="1">IFERROR(IF(DarlehenNichtBezahlt*DarlehenIstGut,ZahlungNummer,""), "")</f>
        <v>41</v>
      </c>
      <c r="C50" s="10">
        <f ca="1">IFERROR(IF(DarlehenNichtBezahlt*DarlehenIstGut,ZahlungsDatum,""), "")</f>
        <v>45399</v>
      </c>
      <c r="D50" s="11">
        <f ca="1">IFERROR(IF(DarlehenNichtBezahlt*DarlehenIstGut,DarlehensWert,""), "")</f>
        <v>14509.145509268752</v>
      </c>
      <c r="E50" s="11">
        <f ca="1">IFERROR(IF(DarlehenNichtBezahlt*DarlehenIstGut,MonatlicheZahlung,""), "")</f>
        <v>217.05255592096145</v>
      </c>
      <c r="F50" s="11">
        <f ca="1">IFERROR(IF(DarlehenNichtBezahlt*DarlehenIstGut,Kapital,""), "")</f>
        <v>150.5523056701463</v>
      </c>
      <c r="G50" s="11">
        <f ca="1">IFERROR(IF(DarlehenNichtBezahlt*DarlehenIstGut,ZinsBetrag,""), "")</f>
        <v>66.500250250815142</v>
      </c>
      <c r="H50" s="11">
        <f ca="1">IFERROR(IF(DarlehenNichtBezahlt*DarlehenIstGut,AbschlussSaldo,""), "")</f>
        <v>14358.593203598602</v>
      </c>
    </row>
    <row r="51" spans="2:8" ht="20.100000000000001" customHeight="1">
      <c r="B51" s="9">
        <f ca="1">IFERROR(IF(DarlehenNichtBezahlt*DarlehenIstGut,ZahlungNummer,""), "")</f>
        <v>42</v>
      </c>
      <c r="C51" s="10">
        <f ca="1">IFERROR(IF(DarlehenNichtBezahlt*DarlehenIstGut,ZahlungsDatum,""), "")</f>
        <v>45429</v>
      </c>
      <c r="D51" s="11">
        <f ca="1">IFERROR(IF(DarlehenNichtBezahlt*DarlehenIstGut,DarlehensWert,""), "")</f>
        <v>14358.593203598602</v>
      </c>
      <c r="E51" s="11">
        <f ca="1">IFERROR(IF(DarlehenNichtBezahlt*DarlehenIstGut,MonatlicheZahlung,""), "")</f>
        <v>217.05255592096145</v>
      </c>
      <c r="F51" s="11">
        <f ca="1">IFERROR(IF(DarlehenNichtBezahlt*DarlehenIstGut,Kapital,""), "")</f>
        <v>151.24233707113447</v>
      </c>
      <c r="G51" s="11">
        <f ca="1">IFERROR(IF(DarlehenNichtBezahlt*DarlehenIstGut,ZinsBetrag,""), "")</f>
        <v>65.810218849826967</v>
      </c>
      <c r="H51" s="11">
        <f ca="1">IFERROR(IF(DarlehenNichtBezahlt*DarlehenIstGut,AbschlussSaldo,""), "")</f>
        <v>14207.350866527468</v>
      </c>
    </row>
    <row r="52" spans="2:8" ht="20.100000000000001" customHeight="1">
      <c r="B52" s="9">
        <f ca="1">IFERROR(IF(DarlehenNichtBezahlt*DarlehenIstGut,ZahlungNummer,""), "")</f>
        <v>43</v>
      </c>
      <c r="C52" s="10">
        <f ca="1">IFERROR(IF(DarlehenNichtBezahlt*DarlehenIstGut,ZahlungsDatum,""), "")</f>
        <v>45460</v>
      </c>
      <c r="D52" s="11">
        <f ca="1">IFERROR(IF(DarlehenNichtBezahlt*DarlehenIstGut,DarlehensWert,""), "")</f>
        <v>14207.350866527468</v>
      </c>
      <c r="E52" s="11">
        <f ca="1">IFERROR(IF(DarlehenNichtBezahlt*DarlehenIstGut,MonatlicheZahlung,""), "")</f>
        <v>217.05255592096145</v>
      </c>
      <c r="F52" s="11">
        <f ca="1">IFERROR(IF(DarlehenNichtBezahlt*DarlehenIstGut,Kapital,""), "")</f>
        <v>151.93553111604385</v>
      </c>
      <c r="G52" s="11">
        <f ca="1">IFERROR(IF(DarlehenNichtBezahlt*DarlehenIstGut,ZinsBetrag,""), "")</f>
        <v>65.117024804917591</v>
      </c>
      <c r="H52" s="11">
        <f ca="1">IFERROR(IF(DarlehenNichtBezahlt*DarlehenIstGut,AbschlussSaldo,""), "")</f>
        <v>14055.415335411419</v>
      </c>
    </row>
    <row r="53" spans="2:8" ht="20.100000000000001" customHeight="1">
      <c r="B53" s="9">
        <f ca="1">IFERROR(IF(DarlehenNichtBezahlt*DarlehenIstGut,ZahlungNummer,""), "")</f>
        <v>44</v>
      </c>
      <c r="C53" s="10">
        <f ca="1">IFERROR(IF(DarlehenNichtBezahlt*DarlehenIstGut,ZahlungsDatum,""), "")</f>
        <v>45490</v>
      </c>
      <c r="D53" s="11">
        <f ca="1">IFERROR(IF(DarlehenNichtBezahlt*DarlehenIstGut,DarlehensWert,""), "")</f>
        <v>14055.415335411419</v>
      </c>
      <c r="E53" s="11">
        <f ca="1">IFERROR(IF(DarlehenNichtBezahlt*DarlehenIstGut,MonatlicheZahlung,""), "")</f>
        <v>217.05255592096145</v>
      </c>
      <c r="F53" s="11">
        <f ca="1">IFERROR(IF(DarlehenNichtBezahlt*DarlehenIstGut,Kapital,""), "")</f>
        <v>152.63190230032572</v>
      </c>
      <c r="G53" s="11">
        <f ca="1">IFERROR(IF(DarlehenNichtBezahlt*DarlehenIstGut,ZinsBetrag,""), "")</f>
        <v>64.420653620635733</v>
      </c>
      <c r="H53" s="11">
        <f ca="1">IFERROR(IF(DarlehenNichtBezahlt*DarlehenIstGut,AbschlussSaldo,""), "")</f>
        <v>13902.783433111103</v>
      </c>
    </row>
    <row r="54" spans="2:8" ht="20.100000000000001" customHeight="1">
      <c r="B54" s="9">
        <f ca="1">IFERROR(IF(DarlehenNichtBezahlt*DarlehenIstGut,ZahlungNummer,""), "")</f>
        <v>45</v>
      </c>
      <c r="C54" s="10">
        <f ca="1">IFERROR(IF(DarlehenNichtBezahlt*DarlehenIstGut,ZahlungsDatum,""), "")</f>
        <v>45521</v>
      </c>
      <c r="D54" s="11">
        <f ca="1">IFERROR(IF(DarlehenNichtBezahlt*DarlehenIstGut,DarlehensWert,""), "")</f>
        <v>13902.783433111103</v>
      </c>
      <c r="E54" s="11">
        <f ca="1">IFERROR(IF(DarlehenNichtBezahlt*DarlehenIstGut,MonatlicheZahlung,""), "")</f>
        <v>217.05255592096145</v>
      </c>
      <c r="F54" s="11">
        <f ca="1">IFERROR(IF(DarlehenNichtBezahlt*DarlehenIstGut,Kapital,""), "")</f>
        <v>153.33146518586886</v>
      </c>
      <c r="G54" s="11">
        <f ca="1">IFERROR(IF(DarlehenNichtBezahlt*DarlehenIstGut,ZinsBetrag,""), "")</f>
        <v>63.721090735092574</v>
      </c>
      <c r="H54" s="11">
        <f ca="1">IFERROR(IF(DarlehenNichtBezahlt*DarlehenIstGut,AbschlussSaldo,""), "")</f>
        <v>13749.45196792523</v>
      </c>
    </row>
    <row r="55" spans="2:8" ht="20.100000000000001" customHeight="1">
      <c r="B55" s="9">
        <f ca="1">IFERROR(IF(DarlehenNichtBezahlt*DarlehenIstGut,ZahlungNummer,""), "")</f>
        <v>46</v>
      </c>
      <c r="C55" s="10">
        <f ca="1">IFERROR(IF(DarlehenNichtBezahlt*DarlehenIstGut,ZahlungsDatum,""), "")</f>
        <v>45552</v>
      </c>
      <c r="D55" s="11">
        <f ca="1">IFERROR(IF(DarlehenNichtBezahlt*DarlehenIstGut,DarlehensWert,""), "")</f>
        <v>13749.45196792523</v>
      </c>
      <c r="E55" s="11">
        <f ca="1">IFERROR(IF(DarlehenNichtBezahlt*DarlehenIstGut,MonatlicheZahlung,""), "")</f>
        <v>217.05255592096145</v>
      </c>
      <c r="F55" s="11">
        <f ca="1">IFERROR(IF(DarlehenNichtBezahlt*DarlehenIstGut,Kapital,""), "")</f>
        <v>154.03423440130413</v>
      </c>
      <c r="G55" s="11">
        <f ca="1">IFERROR(IF(DarlehenNichtBezahlt*DarlehenIstGut,ZinsBetrag,""), "")</f>
        <v>63.018321519657349</v>
      </c>
      <c r="H55" s="11">
        <f ca="1">IFERROR(IF(DarlehenNichtBezahlt*DarlehenIstGut,AbschlussSaldo,""), "")</f>
        <v>13595.41773352392</v>
      </c>
    </row>
    <row r="56" spans="2:8" ht="20.100000000000001" customHeight="1">
      <c r="B56" s="9">
        <f ca="1">IFERROR(IF(DarlehenNichtBezahlt*DarlehenIstGut,ZahlungNummer,""), "")</f>
        <v>47</v>
      </c>
      <c r="C56" s="10">
        <f ca="1">IFERROR(IF(DarlehenNichtBezahlt*DarlehenIstGut,ZahlungsDatum,""), "")</f>
        <v>45582</v>
      </c>
      <c r="D56" s="11">
        <f ca="1">IFERROR(IF(DarlehenNichtBezahlt*DarlehenIstGut,DarlehensWert,""), "")</f>
        <v>13595.41773352392</v>
      </c>
      <c r="E56" s="11">
        <f ca="1">IFERROR(IF(DarlehenNichtBezahlt*DarlehenIstGut,MonatlicheZahlung,""), "")</f>
        <v>217.05255592096145</v>
      </c>
      <c r="F56" s="11">
        <f ca="1">IFERROR(IF(DarlehenNichtBezahlt*DarlehenIstGut,Kapital,""), "")</f>
        <v>154.74022464231007</v>
      </c>
      <c r="G56" s="11">
        <f ca="1">IFERROR(IF(DarlehenNichtBezahlt*DarlehenIstGut,ZinsBetrag,""), "")</f>
        <v>62.312331278651357</v>
      </c>
      <c r="H56" s="11">
        <f ca="1">IFERROR(IF(DarlehenNichtBezahlt*DarlehenIstGut,AbschlussSaldo,""), "")</f>
        <v>13440.677508881618</v>
      </c>
    </row>
    <row r="57" spans="2:8" ht="20.100000000000001" customHeight="1">
      <c r="B57" s="9">
        <f ca="1">IFERROR(IF(DarlehenNichtBezahlt*DarlehenIstGut,ZahlungNummer,""), "")</f>
        <v>48</v>
      </c>
      <c r="C57" s="10">
        <f ca="1">IFERROR(IF(DarlehenNichtBezahlt*DarlehenIstGut,ZahlungsDatum,""), "")</f>
        <v>45613</v>
      </c>
      <c r="D57" s="11">
        <f ca="1">IFERROR(IF(DarlehenNichtBezahlt*DarlehenIstGut,DarlehensWert,""), "")</f>
        <v>13440.677508881618</v>
      </c>
      <c r="E57" s="11">
        <f ca="1">IFERROR(IF(DarlehenNichtBezahlt*DarlehenIstGut,MonatlicheZahlung,""), "")</f>
        <v>217.05255592096145</v>
      </c>
      <c r="F57" s="11">
        <f ca="1">IFERROR(IF(DarlehenNichtBezahlt*DarlehenIstGut,Kapital,""), "")</f>
        <v>155.44945067192069</v>
      </c>
      <c r="G57" s="11">
        <f ca="1">IFERROR(IF(DarlehenNichtBezahlt*DarlehenIstGut,ZinsBetrag,""), "")</f>
        <v>61.60310524904078</v>
      </c>
      <c r="H57" s="11">
        <f ca="1">IFERROR(IF(DarlehenNichtBezahlt*DarlehenIstGut,AbschlussSaldo,""), "")</f>
        <v>13285.228058209694</v>
      </c>
    </row>
    <row r="58" spans="2:8" ht="20.100000000000001" customHeight="1">
      <c r="B58" s="9">
        <f ca="1">IFERROR(IF(DarlehenNichtBezahlt*DarlehenIstGut,ZahlungNummer,""), "")</f>
        <v>49</v>
      </c>
      <c r="C58" s="10">
        <f ca="1">IFERROR(IF(DarlehenNichtBezahlt*DarlehenIstGut,ZahlungsDatum,""), "")</f>
        <v>45643</v>
      </c>
      <c r="D58" s="11">
        <f ca="1">IFERROR(IF(DarlehenNichtBezahlt*DarlehenIstGut,DarlehensWert,""), "")</f>
        <v>13285.228058209694</v>
      </c>
      <c r="E58" s="11">
        <f ca="1">IFERROR(IF(DarlehenNichtBezahlt*DarlehenIstGut,MonatlicheZahlung,""), "")</f>
        <v>217.05255592096145</v>
      </c>
      <c r="F58" s="11">
        <f ca="1">IFERROR(IF(DarlehenNichtBezahlt*DarlehenIstGut,Kapital,""), "")</f>
        <v>156.16192732083366</v>
      </c>
      <c r="G58" s="11">
        <f ca="1">IFERROR(IF(DarlehenNichtBezahlt*DarlehenIstGut,ZinsBetrag,""), "")</f>
        <v>60.890628600127805</v>
      </c>
      <c r="H58" s="11">
        <f ca="1">IFERROR(IF(DarlehenNichtBezahlt*DarlehenIstGut,AbschlussSaldo,""), "")</f>
        <v>13129.066130888859</v>
      </c>
    </row>
    <row r="59" spans="2:8" ht="20.100000000000001" customHeight="1">
      <c r="B59" s="9">
        <f ca="1">IFERROR(IF(DarlehenNichtBezahlt*DarlehenIstGut,ZahlungNummer,""), "")</f>
        <v>50</v>
      </c>
      <c r="C59" s="10">
        <f ca="1">IFERROR(IF(DarlehenNichtBezahlt*DarlehenIstGut,ZahlungsDatum,""), "")</f>
        <v>45674</v>
      </c>
      <c r="D59" s="11">
        <f ca="1">IFERROR(IF(DarlehenNichtBezahlt*DarlehenIstGut,DarlehensWert,""), "")</f>
        <v>13129.066130888859</v>
      </c>
      <c r="E59" s="11">
        <f ca="1">IFERROR(IF(DarlehenNichtBezahlt*DarlehenIstGut,MonatlicheZahlung,""), "")</f>
        <v>217.05255592096145</v>
      </c>
      <c r="F59" s="11">
        <f ca="1">IFERROR(IF(DarlehenNichtBezahlt*DarlehenIstGut,Kapital,""), "")</f>
        <v>156.87766948772082</v>
      </c>
      <c r="G59" s="11">
        <f ca="1">IFERROR(IF(DarlehenNichtBezahlt*DarlehenIstGut,ZinsBetrag,""), "")</f>
        <v>60.174886433240658</v>
      </c>
      <c r="H59" s="11">
        <f ca="1">IFERROR(IF(DarlehenNichtBezahlt*DarlehenIstGut,AbschlussSaldo,""), "")</f>
        <v>12972.188461401138</v>
      </c>
    </row>
    <row r="60" spans="2:8" ht="20.100000000000001" customHeight="1">
      <c r="B60" s="9">
        <f ca="1">IFERROR(IF(DarlehenNichtBezahlt*DarlehenIstGut,ZahlungNummer,""), "")</f>
        <v>51</v>
      </c>
      <c r="C60" s="10">
        <f ca="1">IFERROR(IF(DarlehenNichtBezahlt*DarlehenIstGut,ZahlungsDatum,""), "")</f>
        <v>45705</v>
      </c>
      <c r="D60" s="11">
        <f ca="1">IFERROR(IF(DarlehenNichtBezahlt*DarlehenIstGut,DarlehensWert,""), "")</f>
        <v>12972.188461401138</v>
      </c>
      <c r="E60" s="11">
        <f ca="1">IFERROR(IF(DarlehenNichtBezahlt*DarlehenIstGut,MonatlicheZahlung,""), "")</f>
        <v>217.05255592096145</v>
      </c>
      <c r="F60" s="11">
        <f ca="1">IFERROR(IF(DarlehenNichtBezahlt*DarlehenIstGut,Kapital,""), "")</f>
        <v>157.5966921395395</v>
      </c>
      <c r="G60" s="11">
        <f ca="1">IFERROR(IF(DarlehenNichtBezahlt*DarlehenIstGut,ZinsBetrag,""), "")</f>
        <v>59.455863781421925</v>
      </c>
      <c r="H60" s="11">
        <f ca="1">IFERROR(IF(DarlehenNichtBezahlt*DarlehenIstGut,AbschlussSaldo,""), "")</f>
        <v>12814.591769261599</v>
      </c>
    </row>
    <row r="61" spans="2:8" ht="20.100000000000001" customHeight="1">
      <c r="B61" s="9">
        <f ca="1">IFERROR(IF(DarlehenNichtBezahlt*DarlehenIstGut,ZahlungNummer,""), "")</f>
        <v>52</v>
      </c>
      <c r="C61" s="10">
        <f ca="1">IFERROR(IF(DarlehenNichtBezahlt*DarlehenIstGut,ZahlungsDatum,""), "")</f>
        <v>45733</v>
      </c>
      <c r="D61" s="11">
        <f ca="1">IFERROR(IF(DarlehenNichtBezahlt*DarlehenIstGut,DarlehensWert,""), "")</f>
        <v>12814.591769261599</v>
      </c>
      <c r="E61" s="11">
        <f ca="1">IFERROR(IF(DarlehenNichtBezahlt*DarlehenIstGut,MonatlicheZahlung,""), "")</f>
        <v>217.05255592096145</v>
      </c>
      <c r="F61" s="11">
        <f ca="1">IFERROR(IF(DarlehenNichtBezahlt*DarlehenIstGut,Kapital,""), "")</f>
        <v>158.31901031184574</v>
      </c>
      <c r="G61" s="11">
        <f ca="1">IFERROR(IF(DarlehenNichtBezahlt*DarlehenIstGut,ZinsBetrag,""), "")</f>
        <v>58.733545609115701</v>
      </c>
      <c r="H61" s="11">
        <f ca="1">IFERROR(IF(DarlehenNichtBezahlt*DarlehenIstGut,AbschlussSaldo,""), "")</f>
        <v>12656.272758949752</v>
      </c>
    </row>
    <row r="62" spans="2:8" ht="20.100000000000001" customHeight="1">
      <c r="B62" s="9">
        <f ca="1">IFERROR(IF(DarlehenNichtBezahlt*DarlehenIstGut,ZahlungNummer,""), "")</f>
        <v>53</v>
      </c>
      <c r="C62" s="10">
        <f ca="1">IFERROR(IF(DarlehenNichtBezahlt*DarlehenIstGut,ZahlungsDatum,""), "")</f>
        <v>45764</v>
      </c>
      <c r="D62" s="11">
        <f ca="1">IFERROR(IF(DarlehenNichtBezahlt*DarlehenIstGut,DarlehensWert,""), "")</f>
        <v>12656.272758949752</v>
      </c>
      <c r="E62" s="11">
        <f ca="1">IFERROR(IF(DarlehenNichtBezahlt*DarlehenIstGut,MonatlicheZahlung,""), "")</f>
        <v>217.05255592096145</v>
      </c>
      <c r="F62" s="11">
        <f ca="1">IFERROR(IF(DarlehenNichtBezahlt*DarlehenIstGut,Kapital,""), "")</f>
        <v>159.04463910910835</v>
      </c>
      <c r="G62" s="11">
        <f ca="1">IFERROR(IF(DarlehenNichtBezahlt*DarlehenIstGut,ZinsBetrag,""), "")</f>
        <v>58.007916811853072</v>
      </c>
      <c r="H62" s="11">
        <f ca="1">IFERROR(IF(DarlehenNichtBezahlt*DarlehenIstGut,AbschlussSaldo,""), "")</f>
        <v>12497.228119840638</v>
      </c>
    </row>
    <row r="63" spans="2:8" ht="20.100000000000001" customHeight="1">
      <c r="B63" s="9">
        <f ca="1">IFERROR(IF(DarlehenNichtBezahlt*DarlehenIstGut,ZahlungNummer,""), "")</f>
        <v>54</v>
      </c>
      <c r="C63" s="10">
        <f ca="1">IFERROR(IF(DarlehenNichtBezahlt*DarlehenIstGut,ZahlungsDatum,""), "")</f>
        <v>45794</v>
      </c>
      <c r="D63" s="11">
        <f ca="1">IFERROR(IF(DarlehenNichtBezahlt*DarlehenIstGut,DarlehensWert,""), "")</f>
        <v>12497.228119840638</v>
      </c>
      <c r="E63" s="11">
        <f ca="1">IFERROR(IF(DarlehenNichtBezahlt*DarlehenIstGut,MonatlicheZahlung,""), "")</f>
        <v>217.05255592096145</v>
      </c>
      <c r="F63" s="11">
        <f ca="1">IFERROR(IF(DarlehenNichtBezahlt*DarlehenIstGut,Kapital,""), "")</f>
        <v>159.77359370502512</v>
      </c>
      <c r="G63" s="11">
        <f ca="1">IFERROR(IF(DarlehenNichtBezahlt*DarlehenIstGut,ZinsBetrag,""), "")</f>
        <v>57.278962215936332</v>
      </c>
      <c r="H63" s="11">
        <f ca="1">IFERROR(IF(DarlehenNichtBezahlt*DarlehenIstGut,AbschlussSaldo,""), "")</f>
        <v>12337.454526135612</v>
      </c>
    </row>
    <row r="64" spans="2:8" ht="20.100000000000001" customHeight="1">
      <c r="B64" s="9">
        <f ca="1">IFERROR(IF(DarlehenNichtBezahlt*DarlehenIstGut,ZahlungNummer,""), "")</f>
        <v>55</v>
      </c>
      <c r="C64" s="10">
        <f ca="1">IFERROR(IF(DarlehenNichtBezahlt*DarlehenIstGut,ZahlungsDatum,""), "")</f>
        <v>45825</v>
      </c>
      <c r="D64" s="11">
        <f ca="1">IFERROR(IF(DarlehenNichtBezahlt*DarlehenIstGut,DarlehensWert,""), "")</f>
        <v>12337.454526135612</v>
      </c>
      <c r="E64" s="11">
        <f ca="1">IFERROR(IF(DarlehenNichtBezahlt*DarlehenIstGut,MonatlicheZahlung,""), "")</f>
        <v>217.05255592096145</v>
      </c>
      <c r="F64" s="11">
        <f ca="1">IFERROR(IF(DarlehenNichtBezahlt*DarlehenIstGut,Kapital,""), "")</f>
        <v>160.50588934283979</v>
      </c>
      <c r="G64" s="11">
        <f ca="1">IFERROR(IF(DarlehenNichtBezahlt*DarlehenIstGut,ZinsBetrag,""), "")</f>
        <v>56.546666578121631</v>
      </c>
      <c r="H64" s="11">
        <f ca="1">IFERROR(IF(DarlehenNichtBezahlt*DarlehenIstGut,AbschlussSaldo,""), "")</f>
        <v>12176.948636792775</v>
      </c>
    </row>
    <row r="65" spans="2:8" ht="20.100000000000001" customHeight="1">
      <c r="B65" s="9">
        <f ca="1">IFERROR(IF(DarlehenNichtBezahlt*DarlehenIstGut,ZahlungNummer,""), "")</f>
        <v>56</v>
      </c>
      <c r="C65" s="10">
        <f ca="1">IFERROR(IF(DarlehenNichtBezahlt*DarlehenIstGut,ZahlungsDatum,""), "")</f>
        <v>45855</v>
      </c>
      <c r="D65" s="11">
        <f ca="1">IFERROR(IF(DarlehenNichtBezahlt*DarlehenIstGut,DarlehensWert,""), "")</f>
        <v>12176.948636792775</v>
      </c>
      <c r="E65" s="11">
        <f ca="1">IFERROR(IF(DarlehenNichtBezahlt*DarlehenIstGut,MonatlicheZahlung,""), "")</f>
        <v>217.05255592096145</v>
      </c>
      <c r="F65" s="11">
        <f ca="1">IFERROR(IF(DarlehenNichtBezahlt*DarlehenIstGut,Kapital,""), "")</f>
        <v>161.24154133566117</v>
      </c>
      <c r="G65" s="11">
        <f ca="1">IFERROR(IF(DarlehenNichtBezahlt*DarlehenIstGut,ZinsBetrag,""), "")</f>
        <v>55.811014585300285</v>
      </c>
      <c r="H65" s="11">
        <f ca="1">IFERROR(IF(DarlehenNichtBezahlt*DarlehenIstGut,AbschlussSaldo,""), "")</f>
        <v>12015.707095457115</v>
      </c>
    </row>
    <row r="66" spans="2:8" ht="20.100000000000001" customHeight="1">
      <c r="B66" s="9">
        <f ca="1">IFERROR(IF(DarlehenNichtBezahlt*DarlehenIstGut,ZahlungNummer,""), "")</f>
        <v>57</v>
      </c>
      <c r="C66" s="10">
        <f ca="1">IFERROR(IF(DarlehenNichtBezahlt*DarlehenIstGut,ZahlungsDatum,""), "")</f>
        <v>45886</v>
      </c>
      <c r="D66" s="11">
        <f ca="1">IFERROR(IF(DarlehenNichtBezahlt*DarlehenIstGut,DarlehensWert,""), "")</f>
        <v>12015.707095457115</v>
      </c>
      <c r="E66" s="11">
        <f ca="1">IFERROR(IF(DarlehenNichtBezahlt*DarlehenIstGut,MonatlicheZahlung,""), "")</f>
        <v>217.05255592096145</v>
      </c>
      <c r="F66" s="11">
        <f ca="1">IFERROR(IF(DarlehenNichtBezahlt*DarlehenIstGut,Kapital,""), "")</f>
        <v>161.98056506678293</v>
      </c>
      <c r="G66" s="11">
        <f ca="1">IFERROR(IF(DarlehenNichtBezahlt*DarlehenIstGut,ZinsBetrag,""), "")</f>
        <v>55.071990854178502</v>
      </c>
      <c r="H66" s="11">
        <f ca="1">IFERROR(IF(DarlehenNichtBezahlt*DarlehenIstGut,AbschlussSaldo,""), "")</f>
        <v>11853.726530390333</v>
      </c>
    </row>
    <row r="67" spans="2:8" ht="20.100000000000001" customHeight="1">
      <c r="B67" s="9">
        <f ca="1">IFERROR(IF(DarlehenNichtBezahlt*DarlehenIstGut,ZahlungNummer,""), "")</f>
        <v>58</v>
      </c>
      <c r="C67" s="10">
        <f ca="1">IFERROR(IF(DarlehenNichtBezahlt*DarlehenIstGut,ZahlungsDatum,""), "")</f>
        <v>45917</v>
      </c>
      <c r="D67" s="11">
        <f ca="1">IFERROR(IF(DarlehenNichtBezahlt*DarlehenIstGut,DarlehensWert,""), "")</f>
        <v>11853.726530390333</v>
      </c>
      <c r="E67" s="11">
        <f ca="1">IFERROR(IF(DarlehenNichtBezahlt*DarlehenIstGut,MonatlicheZahlung,""), "")</f>
        <v>217.05255592096145</v>
      </c>
      <c r="F67" s="11">
        <f ca="1">IFERROR(IF(DarlehenNichtBezahlt*DarlehenIstGut,Kapital,""), "")</f>
        <v>162.72297599000569</v>
      </c>
      <c r="G67" s="11">
        <f ca="1">IFERROR(IF(DarlehenNichtBezahlt*DarlehenIstGut,ZinsBetrag,""), "")</f>
        <v>54.329579930955752</v>
      </c>
      <c r="H67" s="11">
        <f ca="1">IFERROR(IF(DarlehenNichtBezahlt*DarlehenIstGut,AbschlussSaldo,""), "")</f>
        <v>11691.003554400328</v>
      </c>
    </row>
    <row r="68" spans="2:8" ht="20.100000000000001" customHeight="1">
      <c r="B68" s="9">
        <f ca="1">IFERROR(IF(DarlehenNichtBezahlt*DarlehenIstGut,ZahlungNummer,""), "")</f>
        <v>59</v>
      </c>
      <c r="C68" s="10">
        <f ca="1">IFERROR(IF(DarlehenNichtBezahlt*DarlehenIstGut,ZahlungsDatum,""), "")</f>
        <v>45947</v>
      </c>
      <c r="D68" s="11">
        <f ca="1">IFERROR(IF(DarlehenNichtBezahlt*DarlehenIstGut,DarlehensWert,""), "")</f>
        <v>11691.003554400328</v>
      </c>
      <c r="E68" s="11">
        <f ca="1">IFERROR(IF(DarlehenNichtBezahlt*DarlehenIstGut,MonatlicheZahlung,""), "")</f>
        <v>217.05255592096145</v>
      </c>
      <c r="F68" s="11">
        <f ca="1">IFERROR(IF(DarlehenNichtBezahlt*DarlehenIstGut,Kapital,""), "")</f>
        <v>163.4687896299599</v>
      </c>
      <c r="G68" s="11">
        <f ca="1">IFERROR(IF(DarlehenNichtBezahlt*DarlehenIstGut,ZinsBetrag,""), "")</f>
        <v>53.58376629100156</v>
      </c>
      <c r="H68" s="11">
        <f ca="1">IFERROR(IF(DarlehenNichtBezahlt*DarlehenIstGut,AbschlussSaldo,""), "")</f>
        <v>11527.534764770366</v>
      </c>
    </row>
    <row r="69" spans="2:8" ht="20.100000000000001" customHeight="1">
      <c r="B69" s="9">
        <f ca="1">IFERROR(IF(DarlehenNichtBezahlt*DarlehenIstGut,ZahlungNummer,""), "")</f>
        <v>60</v>
      </c>
      <c r="C69" s="10">
        <f ca="1">IFERROR(IF(DarlehenNichtBezahlt*DarlehenIstGut,ZahlungsDatum,""), "")</f>
        <v>45978</v>
      </c>
      <c r="D69" s="11">
        <f ca="1">IFERROR(IF(DarlehenNichtBezahlt*DarlehenIstGut,DarlehensWert,""), "")</f>
        <v>11527.534764770366</v>
      </c>
      <c r="E69" s="11">
        <f ca="1">IFERROR(IF(DarlehenNichtBezahlt*DarlehenIstGut,MonatlicheZahlung,""), "")</f>
        <v>217.05255592096145</v>
      </c>
      <c r="F69" s="11">
        <f ca="1">IFERROR(IF(DarlehenNichtBezahlt*DarlehenIstGut,Kapital,""), "")</f>
        <v>164.21802158243054</v>
      </c>
      <c r="G69" s="11">
        <f ca="1">IFERROR(IF(DarlehenNichtBezahlt*DarlehenIstGut,ZinsBetrag,""), "")</f>
        <v>52.834534338530908</v>
      </c>
      <c r="H69" s="11">
        <f ca="1">IFERROR(IF(DarlehenNichtBezahlt*DarlehenIstGut,AbschlussSaldo,""), "")</f>
        <v>11363.316743187936</v>
      </c>
    </row>
    <row r="70" spans="2:8" ht="20.100000000000001" customHeight="1">
      <c r="B70" s="9">
        <f ca="1">IFERROR(IF(DarlehenNichtBezahlt*DarlehenIstGut,ZahlungNummer,""), "")</f>
        <v>61</v>
      </c>
      <c r="C70" s="10">
        <f ca="1">IFERROR(IF(DarlehenNichtBezahlt*DarlehenIstGut,ZahlungsDatum,""), "")</f>
        <v>46008</v>
      </c>
      <c r="D70" s="11">
        <f ca="1">IFERROR(IF(DarlehenNichtBezahlt*DarlehenIstGut,DarlehensWert,""), "")</f>
        <v>11363.316743187936</v>
      </c>
      <c r="E70" s="11">
        <f ca="1">IFERROR(IF(DarlehenNichtBezahlt*DarlehenIstGut,MonatlicheZahlung,""), "")</f>
        <v>217.05255592096145</v>
      </c>
      <c r="F70" s="11">
        <f ca="1">IFERROR(IF(DarlehenNichtBezahlt*DarlehenIstGut,Kapital,""), "")</f>
        <v>164.97068751468333</v>
      </c>
      <c r="G70" s="11">
        <f ca="1">IFERROR(IF(DarlehenNichtBezahlt*DarlehenIstGut,ZinsBetrag,""), "")</f>
        <v>52.081868406278105</v>
      </c>
      <c r="H70" s="11">
        <f ca="1">IFERROR(IF(DarlehenNichtBezahlt*DarlehenIstGut,AbschlussSaldo,""), "")</f>
        <v>11198.346055673246</v>
      </c>
    </row>
    <row r="71" spans="2:8" ht="20.100000000000001" customHeight="1">
      <c r="B71" s="9">
        <f ca="1">IFERROR(IF(DarlehenNichtBezahlt*DarlehenIstGut,ZahlungNummer,""), "")</f>
        <v>62</v>
      </c>
      <c r="C71" s="10">
        <f ca="1">IFERROR(IF(DarlehenNichtBezahlt*DarlehenIstGut,ZahlungsDatum,""), "")</f>
        <v>46039</v>
      </c>
      <c r="D71" s="11">
        <f ca="1">IFERROR(IF(DarlehenNichtBezahlt*DarlehenIstGut,DarlehensWert,""), "")</f>
        <v>11198.346055673246</v>
      </c>
      <c r="E71" s="11">
        <f ca="1">IFERROR(IF(DarlehenNichtBezahlt*DarlehenIstGut,MonatlicheZahlung,""), "")</f>
        <v>217.05255592096145</v>
      </c>
      <c r="F71" s="11">
        <f ca="1">IFERROR(IF(DarlehenNichtBezahlt*DarlehenIstGut,Kapital,""), "")</f>
        <v>165.72680316579232</v>
      </c>
      <c r="G71" s="11">
        <f ca="1">IFERROR(IF(DarlehenNichtBezahlt*DarlehenIstGut,ZinsBetrag,""), "")</f>
        <v>51.325752755169134</v>
      </c>
      <c r="H71" s="11">
        <f ca="1">IFERROR(IF(DarlehenNichtBezahlt*DarlehenIstGut,AbschlussSaldo,""), "")</f>
        <v>11032.619252507458</v>
      </c>
    </row>
    <row r="72" spans="2:8" ht="20.100000000000001" customHeight="1">
      <c r="B72" s="9">
        <f ca="1">IFERROR(IF(DarlehenNichtBezahlt*DarlehenIstGut,ZahlungNummer,""), "")</f>
        <v>63</v>
      </c>
      <c r="C72" s="10">
        <f ca="1">IFERROR(IF(DarlehenNichtBezahlt*DarlehenIstGut,ZahlungsDatum,""), "")</f>
        <v>46070</v>
      </c>
      <c r="D72" s="11">
        <f ca="1">IFERROR(IF(DarlehenNichtBezahlt*DarlehenIstGut,DarlehensWert,""), "")</f>
        <v>11032.619252507458</v>
      </c>
      <c r="E72" s="11">
        <f ca="1">IFERROR(IF(DarlehenNichtBezahlt*DarlehenIstGut,MonatlicheZahlung,""), "")</f>
        <v>217.05255592096145</v>
      </c>
      <c r="F72" s="11">
        <f ca="1">IFERROR(IF(DarlehenNichtBezahlt*DarlehenIstGut,Kapital,""), "")</f>
        <v>166.48638434696886</v>
      </c>
      <c r="G72" s="11">
        <f ca="1">IFERROR(IF(DarlehenNichtBezahlt*DarlehenIstGut,ZinsBetrag,""), "")</f>
        <v>50.566171573992577</v>
      </c>
      <c r="H72" s="11">
        <f ca="1">IFERROR(IF(DarlehenNichtBezahlt*DarlehenIstGut,AbschlussSaldo,""), "")</f>
        <v>10866.132868160492</v>
      </c>
    </row>
    <row r="73" spans="2:8" ht="20.100000000000001" customHeight="1">
      <c r="B73" s="9">
        <f ca="1">IFERROR(IF(DarlehenNichtBezahlt*DarlehenIstGut,ZahlungNummer,""), "")</f>
        <v>64</v>
      </c>
      <c r="C73" s="10">
        <f ca="1">IFERROR(IF(DarlehenNichtBezahlt*DarlehenIstGut,ZahlungsDatum,""), "")</f>
        <v>46098</v>
      </c>
      <c r="D73" s="11">
        <f ca="1">IFERROR(IF(DarlehenNichtBezahlt*DarlehenIstGut,DarlehensWert,""), "")</f>
        <v>10866.132868160492</v>
      </c>
      <c r="E73" s="11">
        <f ca="1">IFERROR(IF(DarlehenNichtBezahlt*DarlehenIstGut,MonatlicheZahlung,""), "")</f>
        <v>217.05255592096145</v>
      </c>
      <c r="F73" s="11">
        <f ca="1">IFERROR(IF(DarlehenNichtBezahlt*DarlehenIstGut,Kapital,""), "")</f>
        <v>167.2494469418925</v>
      </c>
      <c r="G73" s="11">
        <f ca="1">IFERROR(IF(DarlehenNichtBezahlt*DarlehenIstGut,ZinsBetrag,""), "")</f>
        <v>49.80310897906898</v>
      </c>
      <c r="H73" s="11">
        <f ca="1">IFERROR(IF(DarlehenNichtBezahlt*DarlehenIstGut,AbschlussSaldo,""), "")</f>
        <v>10698.883421218594</v>
      </c>
    </row>
    <row r="74" spans="2:8" ht="20.100000000000001" customHeight="1">
      <c r="B74" s="9">
        <f ca="1">IFERROR(IF(DarlehenNichtBezahlt*DarlehenIstGut,ZahlungNummer,""), "")</f>
        <v>65</v>
      </c>
      <c r="C74" s="10">
        <f ca="1">IFERROR(IF(DarlehenNichtBezahlt*DarlehenIstGut,ZahlungsDatum,""), "")</f>
        <v>46129</v>
      </c>
      <c r="D74" s="11">
        <f ca="1">IFERROR(IF(DarlehenNichtBezahlt*DarlehenIstGut,DarlehensWert,""), "")</f>
        <v>10698.883421218594</v>
      </c>
      <c r="E74" s="11">
        <f ca="1">IFERROR(IF(DarlehenNichtBezahlt*DarlehenIstGut,MonatlicheZahlung,""), "")</f>
        <v>217.05255592096145</v>
      </c>
      <c r="F74" s="11">
        <f ca="1">IFERROR(IF(DarlehenNichtBezahlt*DarlehenIstGut,Kapital,""), "")</f>
        <v>168.01600690704282</v>
      </c>
      <c r="G74" s="11">
        <f ca="1">IFERROR(IF(DarlehenNichtBezahlt*DarlehenIstGut,ZinsBetrag,""), "")</f>
        <v>49.036549013918638</v>
      </c>
      <c r="H74" s="11">
        <f ca="1">IFERROR(IF(DarlehenNichtBezahlt*DarlehenIstGut,AbschlussSaldo,""), "")</f>
        <v>10530.867414311546</v>
      </c>
    </row>
    <row r="75" spans="2:8" ht="20.100000000000001" customHeight="1">
      <c r="B75" s="9">
        <f ca="1">IFERROR(IF(DarlehenNichtBezahlt*DarlehenIstGut,ZahlungNummer,""), "")</f>
        <v>66</v>
      </c>
      <c r="C75" s="10">
        <f ca="1">IFERROR(IF(DarlehenNichtBezahlt*DarlehenIstGut,ZahlungsDatum,""), "")</f>
        <v>46159</v>
      </c>
      <c r="D75" s="11">
        <f ca="1">IFERROR(IF(DarlehenNichtBezahlt*DarlehenIstGut,DarlehensWert,""), "")</f>
        <v>10530.867414311546</v>
      </c>
      <c r="E75" s="11">
        <f ca="1">IFERROR(IF(DarlehenNichtBezahlt*DarlehenIstGut,MonatlicheZahlung,""), "")</f>
        <v>217.05255592096145</v>
      </c>
      <c r="F75" s="11">
        <f ca="1">IFERROR(IF(DarlehenNichtBezahlt*DarlehenIstGut,Kapital,""), "")</f>
        <v>168.78608027203342</v>
      </c>
      <c r="G75" s="11">
        <f ca="1">IFERROR(IF(DarlehenNichtBezahlt*DarlehenIstGut,ZinsBetrag,""), "")</f>
        <v>48.266475648928022</v>
      </c>
      <c r="H75" s="11">
        <f ca="1">IFERROR(IF(DarlehenNichtBezahlt*DarlehenIstGut,AbschlussSaldo,""), "")</f>
        <v>10362.081334039514</v>
      </c>
    </row>
    <row r="76" spans="2:8" ht="20.100000000000001" customHeight="1">
      <c r="B76" s="9">
        <f ca="1">IFERROR(IF(DarlehenNichtBezahlt*DarlehenIstGut,ZahlungNummer,""), "")</f>
        <v>67</v>
      </c>
      <c r="C76" s="10">
        <f ca="1">IFERROR(IF(DarlehenNichtBezahlt*DarlehenIstGut,ZahlungsDatum,""), "")</f>
        <v>46190</v>
      </c>
      <c r="D76" s="11">
        <f ca="1">IFERROR(IF(DarlehenNichtBezahlt*DarlehenIstGut,DarlehensWert,""), "")</f>
        <v>10362.081334039514</v>
      </c>
      <c r="E76" s="11">
        <f ca="1">IFERROR(IF(DarlehenNichtBezahlt*DarlehenIstGut,MonatlicheZahlung,""), "")</f>
        <v>217.05255592096145</v>
      </c>
      <c r="F76" s="11">
        <f ca="1">IFERROR(IF(DarlehenNichtBezahlt*DarlehenIstGut,Kapital,""), "")</f>
        <v>169.55968313994688</v>
      </c>
      <c r="G76" s="11">
        <f ca="1">IFERROR(IF(DarlehenNichtBezahlt*DarlehenIstGut,ZinsBetrag,""), "")</f>
        <v>47.49287278101454</v>
      </c>
      <c r="H76" s="11">
        <f ca="1">IFERROR(IF(DarlehenNichtBezahlt*DarlehenIstGut,AbschlussSaldo,""), "")</f>
        <v>10192.521650899569</v>
      </c>
    </row>
    <row r="77" spans="2:8" ht="20.100000000000001" customHeight="1">
      <c r="B77" s="9">
        <f ca="1">IFERROR(IF(DarlehenNichtBezahlt*DarlehenIstGut,ZahlungNummer,""), "")</f>
        <v>68</v>
      </c>
      <c r="C77" s="10">
        <f ca="1">IFERROR(IF(DarlehenNichtBezahlt*DarlehenIstGut,ZahlungsDatum,""), "")</f>
        <v>46220</v>
      </c>
      <c r="D77" s="11">
        <f ca="1">IFERROR(IF(DarlehenNichtBezahlt*DarlehenIstGut,DarlehensWert,""), "")</f>
        <v>10192.521650899569</v>
      </c>
      <c r="E77" s="11">
        <f ca="1">IFERROR(IF(DarlehenNichtBezahlt*DarlehenIstGut,MonatlicheZahlung,""), "")</f>
        <v>217.05255592096145</v>
      </c>
      <c r="F77" s="11">
        <f ca="1">IFERROR(IF(DarlehenNichtBezahlt*DarlehenIstGut,Kapital,""), "")</f>
        <v>170.33683168767163</v>
      </c>
      <c r="G77" s="11">
        <f ca="1">IFERROR(IF(DarlehenNichtBezahlt*DarlehenIstGut,ZinsBetrag,""), "")</f>
        <v>46.715724233289784</v>
      </c>
      <c r="H77" s="11">
        <f ca="1">IFERROR(IF(DarlehenNichtBezahlt*DarlehenIstGut,AbschlussSaldo,""), "")</f>
        <v>10022.184819211896</v>
      </c>
    </row>
    <row r="78" spans="2:8" ht="20.100000000000001" customHeight="1">
      <c r="B78" s="9">
        <f ca="1">IFERROR(IF(DarlehenNichtBezahlt*DarlehenIstGut,ZahlungNummer,""), "")</f>
        <v>69</v>
      </c>
      <c r="C78" s="10">
        <f ca="1">IFERROR(IF(DarlehenNichtBezahlt*DarlehenIstGut,ZahlungsDatum,""), "")</f>
        <v>46251</v>
      </c>
      <c r="D78" s="11">
        <f ca="1">IFERROR(IF(DarlehenNichtBezahlt*DarlehenIstGut,DarlehensWert,""), "")</f>
        <v>10022.184819211896</v>
      </c>
      <c r="E78" s="11">
        <f ca="1">IFERROR(IF(DarlehenNichtBezahlt*DarlehenIstGut,MonatlicheZahlung,""), "")</f>
        <v>217.05255592096145</v>
      </c>
      <c r="F78" s="11">
        <f ca="1">IFERROR(IF(DarlehenNichtBezahlt*DarlehenIstGut,Kapital,""), "")</f>
        <v>171.11754216624016</v>
      </c>
      <c r="G78" s="11">
        <f ca="1">IFERROR(IF(DarlehenNichtBezahlt*DarlehenIstGut,ZinsBetrag,""), "")</f>
        <v>45.935013754721282</v>
      </c>
      <c r="H78" s="11">
        <f ca="1">IFERROR(IF(DarlehenNichtBezahlt*DarlehenIstGut,AbschlussSaldo,""), "")</f>
        <v>9851.0672770456476</v>
      </c>
    </row>
    <row r="79" spans="2:8" ht="20.100000000000001" customHeight="1">
      <c r="B79" s="9">
        <f ca="1">IFERROR(IF(DarlehenNichtBezahlt*DarlehenIstGut,ZahlungNummer,""), "")</f>
        <v>70</v>
      </c>
      <c r="C79" s="10">
        <f ca="1">IFERROR(IF(DarlehenNichtBezahlt*DarlehenIstGut,ZahlungsDatum,""), "")</f>
        <v>46282</v>
      </c>
      <c r="D79" s="11">
        <f ca="1">IFERROR(IF(DarlehenNichtBezahlt*DarlehenIstGut,DarlehensWert,""), "")</f>
        <v>9851.0672770456476</v>
      </c>
      <c r="E79" s="11">
        <f ca="1">IFERROR(IF(DarlehenNichtBezahlt*DarlehenIstGut,MonatlicheZahlung,""), "")</f>
        <v>217.05255592096145</v>
      </c>
      <c r="F79" s="11">
        <f ca="1">IFERROR(IF(DarlehenNichtBezahlt*DarlehenIstGut,Kapital,""), "")</f>
        <v>171.90183090116875</v>
      </c>
      <c r="G79" s="11">
        <f ca="1">IFERROR(IF(DarlehenNichtBezahlt*DarlehenIstGut,ZinsBetrag,""), "")</f>
        <v>45.150725019792688</v>
      </c>
      <c r="H79" s="11">
        <f ca="1">IFERROR(IF(DarlehenNichtBezahlt*DarlehenIstGut,AbschlussSaldo,""), "")</f>
        <v>9679.1654461444778</v>
      </c>
    </row>
    <row r="80" spans="2:8" ht="20.100000000000001" customHeight="1">
      <c r="B80" s="9">
        <f ca="1">IFERROR(IF(DarlehenNichtBezahlt*DarlehenIstGut,ZahlungNummer,""), "")</f>
        <v>71</v>
      </c>
      <c r="C80" s="10">
        <f ca="1">IFERROR(IF(DarlehenNichtBezahlt*DarlehenIstGut,ZahlungsDatum,""), "")</f>
        <v>46312</v>
      </c>
      <c r="D80" s="11">
        <f ca="1">IFERROR(IF(DarlehenNichtBezahlt*DarlehenIstGut,DarlehensWert,""), "")</f>
        <v>9679.1654461444778</v>
      </c>
      <c r="E80" s="11">
        <f ca="1">IFERROR(IF(DarlehenNichtBezahlt*DarlehenIstGut,MonatlicheZahlung,""), "")</f>
        <v>217.05255592096145</v>
      </c>
      <c r="F80" s="11">
        <f ca="1">IFERROR(IF(DarlehenNichtBezahlt*DarlehenIstGut,Kapital,""), "")</f>
        <v>172.68971429279912</v>
      </c>
      <c r="G80" s="11">
        <f ca="1">IFERROR(IF(DarlehenNichtBezahlt*DarlehenIstGut,ZinsBetrag,""), "")</f>
        <v>44.362841628162322</v>
      </c>
      <c r="H80" s="11">
        <f ca="1">IFERROR(IF(DarlehenNichtBezahlt*DarlehenIstGut,AbschlussSaldo,""), "")</f>
        <v>9506.4757318516859</v>
      </c>
    </row>
    <row r="81" spans="2:8" ht="20.100000000000001" customHeight="1">
      <c r="B81" s="9">
        <f ca="1">IFERROR(IF(DarlehenNichtBezahlt*DarlehenIstGut,ZahlungNummer,""), "")</f>
        <v>72</v>
      </c>
      <c r="C81" s="10">
        <f ca="1">IFERROR(IF(DarlehenNichtBezahlt*DarlehenIstGut,ZahlungsDatum,""), "")</f>
        <v>46343</v>
      </c>
      <c r="D81" s="11">
        <f ca="1">IFERROR(IF(DarlehenNichtBezahlt*DarlehenIstGut,DarlehensWert,""), "")</f>
        <v>9506.4757318516859</v>
      </c>
      <c r="E81" s="11">
        <f ca="1">IFERROR(IF(DarlehenNichtBezahlt*DarlehenIstGut,MonatlicheZahlung,""), "")</f>
        <v>217.05255592096145</v>
      </c>
      <c r="F81" s="11">
        <f ca="1">IFERROR(IF(DarlehenNichtBezahlt*DarlehenIstGut,Kapital,""), "")</f>
        <v>173.48120881664113</v>
      </c>
      <c r="G81" s="11">
        <f ca="1">IFERROR(IF(DarlehenNichtBezahlt*DarlehenIstGut,ZinsBetrag,""), "")</f>
        <v>43.571347104320324</v>
      </c>
      <c r="H81" s="11">
        <f ca="1">IFERROR(IF(DarlehenNichtBezahlt*DarlehenIstGut,AbschlussSaldo,""), "")</f>
        <v>9332.9945230350459</v>
      </c>
    </row>
    <row r="82" spans="2:8" ht="20.100000000000001" customHeight="1">
      <c r="B82" s="9">
        <f ca="1">IFERROR(IF(DarlehenNichtBezahlt*DarlehenIstGut,ZahlungNummer,""), "")</f>
        <v>73</v>
      </c>
      <c r="C82" s="10">
        <f ca="1">IFERROR(IF(DarlehenNichtBezahlt*DarlehenIstGut,ZahlungsDatum,""), "")</f>
        <v>46373</v>
      </c>
      <c r="D82" s="11">
        <f ca="1">IFERROR(IF(DarlehenNichtBezahlt*DarlehenIstGut,DarlehensWert,""), "")</f>
        <v>9332.9945230350459</v>
      </c>
      <c r="E82" s="11">
        <f ca="1">IFERROR(IF(DarlehenNichtBezahlt*DarlehenIstGut,MonatlicheZahlung,""), "")</f>
        <v>217.05255592096145</v>
      </c>
      <c r="F82" s="11">
        <f ca="1">IFERROR(IF(DarlehenNichtBezahlt*DarlehenIstGut,Kapital,""), "")</f>
        <v>174.2763310237174</v>
      </c>
      <c r="G82" s="11">
        <f ca="1">IFERROR(IF(DarlehenNichtBezahlt*DarlehenIstGut,ZinsBetrag,""), "")</f>
        <v>42.776224897244063</v>
      </c>
      <c r="H82" s="11">
        <f ca="1">IFERROR(IF(DarlehenNichtBezahlt*DarlehenIstGut,AbschlussSaldo,""), "")</f>
        <v>9158.7181920113289</v>
      </c>
    </row>
    <row r="83" spans="2:8" ht="20.100000000000001" customHeight="1">
      <c r="B83" s="9">
        <f ca="1">IFERROR(IF(DarlehenNichtBezahlt*DarlehenIstGut,ZahlungNummer,""), "")</f>
        <v>74</v>
      </c>
      <c r="C83" s="10">
        <f ca="1">IFERROR(IF(DarlehenNichtBezahlt*DarlehenIstGut,ZahlungsDatum,""), "")</f>
        <v>46404</v>
      </c>
      <c r="D83" s="11">
        <f ca="1">IFERROR(IF(DarlehenNichtBezahlt*DarlehenIstGut,DarlehensWert,""), "")</f>
        <v>9158.7181920113289</v>
      </c>
      <c r="E83" s="11">
        <f ca="1">IFERROR(IF(DarlehenNichtBezahlt*DarlehenIstGut,MonatlicheZahlung,""), "")</f>
        <v>217.05255592096145</v>
      </c>
      <c r="F83" s="11">
        <f ca="1">IFERROR(IF(DarlehenNichtBezahlt*DarlehenIstGut,Kapital,""), "")</f>
        <v>175.07509754090944</v>
      </c>
      <c r="G83" s="11">
        <f ca="1">IFERROR(IF(DarlehenNichtBezahlt*DarlehenIstGut,ZinsBetrag,""), "")</f>
        <v>41.977458380052028</v>
      </c>
      <c r="H83" s="11">
        <f ca="1">IFERROR(IF(DarlehenNichtBezahlt*DarlehenIstGut,AbschlussSaldo,""), "")</f>
        <v>8983.6430944704152</v>
      </c>
    </row>
    <row r="84" spans="2:8" ht="20.100000000000001" customHeight="1">
      <c r="B84" s="9">
        <f ca="1">IFERROR(IF(DarlehenNichtBezahlt*DarlehenIstGut,ZahlungNummer,""), "")</f>
        <v>75</v>
      </c>
      <c r="C84" s="10">
        <f ca="1">IFERROR(IF(DarlehenNichtBezahlt*DarlehenIstGut,ZahlungsDatum,""), "")</f>
        <v>46435</v>
      </c>
      <c r="D84" s="11">
        <f ca="1">IFERROR(IF(DarlehenNichtBezahlt*DarlehenIstGut,DarlehensWert,""), "")</f>
        <v>8983.6430944704152</v>
      </c>
      <c r="E84" s="11">
        <f ca="1">IFERROR(IF(DarlehenNichtBezahlt*DarlehenIstGut,MonatlicheZahlung,""), "")</f>
        <v>217.05255592096145</v>
      </c>
      <c r="F84" s="11">
        <f ca="1">IFERROR(IF(DarlehenNichtBezahlt*DarlehenIstGut,Kapital,""), "")</f>
        <v>175.87752507130526</v>
      </c>
      <c r="G84" s="11">
        <f ca="1">IFERROR(IF(DarlehenNichtBezahlt*DarlehenIstGut,ZinsBetrag,""), "")</f>
        <v>41.175030849656196</v>
      </c>
      <c r="H84" s="11">
        <f ca="1">IFERROR(IF(DarlehenNichtBezahlt*DarlehenIstGut,AbschlussSaldo,""), "")</f>
        <v>8807.765569399111</v>
      </c>
    </row>
    <row r="85" spans="2:8" ht="20.100000000000001" customHeight="1">
      <c r="B85" s="9">
        <f ca="1">IFERROR(IF(DarlehenNichtBezahlt*DarlehenIstGut,ZahlungNummer,""), "")</f>
        <v>76</v>
      </c>
      <c r="C85" s="10">
        <f ca="1">IFERROR(IF(DarlehenNichtBezahlt*DarlehenIstGut,ZahlungsDatum,""), "")</f>
        <v>46463</v>
      </c>
      <c r="D85" s="11">
        <f ca="1">IFERROR(IF(DarlehenNichtBezahlt*DarlehenIstGut,DarlehensWert,""), "")</f>
        <v>8807.765569399111</v>
      </c>
      <c r="E85" s="11">
        <f ca="1">IFERROR(IF(DarlehenNichtBezahlt*DarlehenIstGut,MonatlicheZahlung,""), "")</f>
        <v>217.05255592096145</v>
      </c>
      <c r="F85" s="11">
        <f ca="1">IFERROR(IF(DarlehenNichtBezahlt*DarlehenIstGut,Kapital,""), "")</f>
        <v>176.68363039454877</v>
      </c>
      <c r="G85" s="11">
        <f ca="1">IFERROR(IF(DarlehenNichtBezahlt*DarlehenIstGut,ZinsBetrag,""), "")</f>
        <v>40.36892552641271</v>
      </c>
      <c r="H85" s="11">
        <f ca="1">IFERROR(IF(DarlehenNichtBezahlt*DarlehenIstGut,AbschlussSaldo,""), "")</f>
        <v>8631.0819390045617</v>
      </c>
    </row>
    <row r="86" spans="2:8" ht="20.100000000000001" customHeight="1">
      <c r="B86" s="9">
        <f ca="1">IFERROR(IF(DarlehenNichtBezahlt*DarlehenIstGut,ZahlungNummer,""), "")</f>
        <v>77</v>
      </c>
      <c r="C86" s="10">
        <f ca="1">IFERROR(IF(DarlehenNichtBezahlt*DarlehenIstGut,ZahlungsDatum,""), "")</f>
        <v>46494</v>
      </c>
      <c r="D86" s="11">
        <f ca="1">IFERROR(IF(DarlehenNichtBezahlt*DarlehenIstGut,DarlehensWert,""), "")</f>
        <v>8631.0819390045617</v>
      </c>
      <c r="E86" s="11">
        <f ca="1">IFERROR(IF(DarlehenNichtBezahlt*DarlehenIstGut,MonatlicheZahlung,""), "")</f>
        <v>217.05255592096145</v>
      </c>
      <c r="F86" s="11">
        <f ca="1">IFERROR(IF(DarlehenNichtBezahlt*DarlehenIstGut,Kapital,""), "")</f>
        <v>177.49343036719043</v>
      </c>
      <c r="G86" s="11">
        <f ca="1">IFERROR(IF(DarlehenNichtBezahlt*DarlehenIstGut,ZinsBetrag,""), "")</f>
        <v>39.559125553771025</v>
      </c>
      <c r="H86" s="11">
        <f ca="1">IFERROR(IF(DarlehenNichtBezahlt*DarlehenIstGut,AbschlussSaldo,""), "")</f>
        <v>8453.5885086373673</v>
      </c>
    </row>
    <row r="87" spans="2:8" ht="20.100000000000001" customHeight="1">
      <c r="B87" s="9">
        <f ca="1">IFERROR(IF(DarlehenNichtBezahlt*DarlehenIstGut,ZahlungNummer,""), "")</f>
        <v>78</v>
      </c>
      <c r="C87" s="10">
        <f ca="1">IFERROR(IF(DarlehenNichtBezahlt*DarlehenIstGut,ZahlungsDatum,""), "")</f>
        <v>46524</v>
      </c>
      <c r="D87" s="11">
        <f ca="1">IFERROR(IF(DarlehenNichtBezahlt*DarlehenIstGut,DarlehensWert,""), "")</f>
        <v>8453.5885086373673</v>
      </c>
      <c r="E87" s="11">
        <f ca="1">IFERROR(IF(DarlehenNichtBezahlt*DarlehenIstGut,MonatlicheZahlung,""), "")</f>
        <v>217.05255592096145</v>
      </c>
      <c r="F87" s="11">
        <f ca="1">IFERROR(IF(DarlehenNichtBezahlt*DarlehenIstGut,Kapital,""), "")</f>
        <v>178.30694192304006</v>
      </c>
      <c r="G87" s="11">
        <f ca="1">IFERROR(IF(DarlehenNichtBezahlt*DarlehenIstGut,ZinsBetrag,""), "")</f>
        <v>38.745613997921403</v>
      </c>
      <c r="H87" s="11">
        <f ca="1">IFERROR(IF(DarlehenNichtBezahlt*DarlehenIstGut,AbschlussSaldo,""), "")</f>
        <v>8275.2815667143295</v>
      </c>
    </row>
    <row r="88" spans="2:8" ht="20.100000000000001" customHeight="1">
      <c r="B88" s="9">
        <f ca="1">IFERROR(IF(DarlehenNichtBezahlt*DarlehenIstGut,ZahlungNummer,""), "")</f>
        <v>79</v>
      </c>
      <c r="C88" s="10">
        <f ca="1">IFERROR(IF(DarlehenNichtBezahlt*DarlehenIstGut,ZahlungsDatum,""), "")</f>
        <v>46555</v>
      </c>
      <c r="D88" s="11">
        <f ca="1">IFERROR(IF(DarlehenNichtBezahlt*DarlehenIstGut,DarlehensWert,""), "")</f>
        <v>8275.2815667143295</v>
      </c>
      <c r="E88" s="11">
        <f ca="1">IFERROR(IF(DarlehenNichtBezahlt*DarlehenIstGut,MonatlicheZahlung,""), "")</f>
        <v>217.05255592096145</v>
      </c>
      <c r="F88" s="11">
        <f ca="1">IFERROR(IF(DarlehenNichtBezahlt*DarlehenIstGut,Kapital,""), "")</f>
        <v>179.12418207352064</v>
      </c>
      <c r="G88" s="11">
        <f ca="1">IFERROR(IF(DarlehenNichtBezahlt*DarlehenIstGut,ZinsBetrag,""), "")</f>
        <v>37.928373847440803</v>
      </c>
      <c r="H88" s="11">
        <f ca="1">IFERROR(IF(DarlehenNichtBezahlt*DarlehenIstGut,AbschlussSaldo,""), "")</f>
        <v>8096.1573846408137</v>
      </c>
    </row>
    <row r="89" spans="2:8" ht="20.100000000000001" customHeight="1">
      <c r="B89" s="9">
        <f ca="1">IFERROR(IF(DarlehenNichtBezahlt*DarlehenIstGut,ZahlungNummer,""), "")</f>
        <v>80</v>
      </c>
      <c r="C89" s="10">
        <f ca="1">IFERROR(IF(DarlehenNichtBezahlt*DarlehenIstGut,ZahlungsDatum,""), "")</f>
        <v>46585</v>
      </c>
      <c r="D89" s="11">
        <f ca="1">IFERROR(IF(DarlehenNichtBezahlt*DarlehenIstGut,DarlehensWert,""), "")</f>
        <v>8096.1573846408137</v>
      </c>
      <c r="E89" s="11">
        <f ca="1">IFERROR(IF(DarlehenNichtBezahlt*DarlehenIstGut,MonatlicheZahlung,""), "")</f>
        <v>217.05255592096145</v>
      </c>
      <c r="F89" s="11">
        <f ca="1">IFERROR(IF(DarlehenNichtBezahlt*DarlehenIstGut,Kapital,""), "")</f>
        <v>179.94516790802427</v>
      </c>
      <c r="G89" s="11">
        <f ca="1">IFERROR(IF(DarlehenNichtBezahlt*DarlehenIstGut,ZinsBetrag,""), "")</f>
        <v>37.107388012937164</v>
      </c>
      <c r="H89" s="11">
        <f ca="1">IFERROR(IF(DarlehenNichtBezahlt*DarlehenIstGut,AbschlussSaldo,""), "")</f>
        <v>7916.2122167327871</v>
      </c>
    </row>
    <row r="90" spans="2:8" ht="20.100000000000001" customHeight="1">
      <c r="B90" s="9">
        <f ca="1">IFERROR(IF(DarlehenNichtBezahlt*DarlehenIstGut,ZahlungNummer,""), "")</f>
        <v>81</v>
      </c>
      <c r="C90" s="10">
        <f ca="1">IFERROR(IF(DarlehenNichtBezahlt*DarlehenIstGut,ZahlungsDatum,""), "")</f>
        <v>46616</v>
      </c>
      <c r="D90" s="11">
        <f ca="1">IFERROR(IF(DarlehenNichtBezahlt*DarlehenIstGut,DarlehensWert,""), "")</f>
        <v>7916.2122167327871</v>
      </c>
      <c r="E90" s="11">
        <f ca="1">IFERROR(IF(DarlehenNichtBezahlt*DarlehenIstGut,MonatlicheZahlung,""), "")</f>
        <v>217.05255592096145</v>
      </c>
      <c r="F90" s="11">
        <f ca="1">IFERROR(IF(DarlehenNichtBezahlt*DarlehenIstGut,Kapital,""), "")</f>
        <v>180.7699165942694</v>
      </c>
      <c r="G90" s="11">
        <f ca="1">IFERROR(IF(DarlehenNichtBezahlt*DarlehenIstGut,ZinsBetrag,""), "")</f>
        <v>36.282639326692056</v>
      </c>
      <c r="H90" s="11">
        <f ca="1">IFERROR(IF(DarlehenNichtBezahlt*DarlehenIstGut,AbschlussSaldo,""), "")</f>
        <v>7735.4423001385112</v>
      </c>
    </row>
    <row r="91" spans="2:8" ht="20.100000000000001" customHeight="1">
      <c r="B91" s="9">
        <f ca="1">IFERROR(IF(DarlehenNichtBezahlt*DarlehenIstGut,ZahlungNummer,""), "")</f>
        <v>82</v>
      </c>
      <c r="C91" s="10">
        <f ca="1">IFERROR(IF(DarlehenNichtBezahlt*DarlehenIstGut,ZahlungsDatum,""), "")</f>
        <v>46647</v>
      </c>
      <c r="D91" s="11">
        <f ca="1">IFERROR(IF(DarlehenNichtBezahlt*DarlehenIstGut,DarlehensWert,""), "")</f>
        <v>7735.4423001385112</v>
      </c>
      <c r="E91" s="11">
        <f ca="1">IFERROR(IF(DarlehenNichtBezahlt*DarlehenIstGut,MonatlicheZahlung,""), "")</f>
        <v>217.05255592096145</v>
      </c>
      <c r="F91" s="11">
        <f ca="1">IFERROR(IF(DarlehenNichtBezahlt*DarlehenIstGut,Kapital,""), "")</f>
        <v>181.59844537865982</v>
      </c>
      <c r="G91" s="11">
        <f ca="1">IFERROR(IF(DarlehenNichtBezahlt*DarlehenIstGut,ZinsBetrag,""), "")</f>
        <v>35.454110542301656</v>
      </c>
      <c r="H91" s="11">
        <f ca="1">IFERROR(IF(DarlehenNichtBezahlt*DarlehenIstGut,AbschlussSaldo,""), "")</f>
        <v>7553.8438547598525</v>
      </c>
    </row>
    <row r="92" spans="2:8" ht="20.100000000000001" customHeight="1">
      <c r="B92" s="9">
        <f ca="1">IFERROR(IF(DarlehenNichtBezahlt*DarlehenIstGut,ZahlungNummer,""), "")</f>
        <v>83</v>
      </c>
      <c r="C92" s="10">
        <f ca="1">IFERROR(IF(DarlehenNichtBezahlt*DarlehenIstGut,ZahlungsDatum,""), "")</f>
        <v>46677</v>
      </c>
      <c r="D92" s="11">
        <f ca="1">IFERROR(IF(DarlehenNichtBezahlt*DarlehenIstGut,DarlehensWert,""), "")</f>
        <v>7553.8438547598525</v>
      </c>
      <c r="E92" s="11">
        <f ca="1">IFERROR(IF(DarlehenNichtBezahlt*DarlehenIstGut,MonatlicheZahlung,""), "")</f>
        <v>217.05255592096145</v>
      </c>
      <c r="F92" s="11">
        <f ca="1">IFERROR(IF(DarlehenNichtBezahlt*DarlehenIstGut,Kapital,""), "")</f>
        <v>182.43077158664531</v>
      </c>
      <c r="G92" s="11">
        <f ca="1">IFERROR(IF(DarlehenNichtBezahlt*DarlehenIstGut,ZinsBetrag,""), "")</f>
        <v>34.621784334316125</v>
      </c>
      <c r="H92" s="11">
        <f ca="1">IFERROR(IF(DarlehenNichtBezahlt*DarlehenIstGut,AbschlussSaldo,""), "")</f>
        <v>7371.4130831732145</v>
      </c>
    </row>
    <row r="93" spans="2:8" ht="20.100000000000001" customHeight="1">
      <c r="B93" s="9">
        <f ca="1">IFERROR(IF(DarlehenNichtBezahlt*DarlehenIstGut,ZahlungNummer,""), "")</f>
        <v>84</v>
      </c>
      <c r="C93" s="10">
        <f ca="1">IFERROR(IF(DarlehenNichtBezahlt*DarlehenIstGut,ZahlungsDatum,""), "")</f>
        <v>46708</v>
      </c>
      <c r="D93" s="11">
        <f ca="1">IFERROR(IF(DarlehenNichtBezahlt*DarlehenIstGut,DarlehensWert,""), "")</f>
        <v>7371.4130831732145</v>
      </c>
      <c r="E93" s="11">
        <f ca="1">IFERROR(IF(DarlehenNichtBezahlt*DarlehenIstGut,MonatlicheZahlung,""), "")</f>
        <v>217.05255592096145</v>
      </c>
      <c r="F93" s="11">
        <f ca="1">IFERROR(IF(DarlehenNichtBezahlt*DarlehenIstGut,Kapital,""), "")</f>
        <v>183.2669126230841</v>
      </c>
      <c r="G93" s="11">
        <f ca="1">IFERROR(IF(DarlehenNichtBezahlt*DarlehenIstGut,ZinsBetrag,""), "")</f>
        <v>33.785643297877336</v>
      </c>
      <c r="H93" s="11">
        <f ca="1">IFERROR(IF(DarlehenNichtBezahlt*DarlehenIstGut,AbschlussSaldo,""), "")</f>
        <v>7188.1461705501242</v>
      </c>
    </row>
    <row r="94" spans="2:8" ht="20.100000000000001" customHeight="1">
      <c r="B94" s="9">
        <f ca="1">IFERROR(IF(DarlehenNichtBezahlt*DarlehenIstGut,ZahlungNummer,""), "")</f>
        <v>85</v>
      </c>
      <c r="C94" s="10">
        <f ca="1">IFERROR(IF(DarlehenNichtBezahlt*DarlehenIstGut,ZahlungsDatum,""), "")</f>
        <v>46738</v>
      </c>
      <c r="D94" s="11">
        <f ca="1">IFERROR(IF(DarlehenNichtBezahlt*DarlehenIstGut,DarlehensWert,""), "")</f>
        <v>7188.1461705501242</v>
      </c>
      <c r="E94" s="11">
        <f ca="1">IFERROR(IF(DarlehenNichtBezahlt*DarlehenIstGut,MonatlicheZahlung,""), "")</f>
        <v>217.05255592096145</v>
      </c>
      <c r="F94" s="11">
        <f ca="1">IFERROR(IF(DarlehenNichtBezahlt*DarlehenIstGut,Kapital,""), "")</f>
        <v>184.10688597260659</v>
      </c>
      <c r="G94" s="11">
        <f ca="1">IFERROR(IF(DarlehenNichtBezahlt*DarlehenIstGut,ZinsBetrag,""), "")</f>
        <v>32.945669948354876</v>
      </c>
      <c r="H94" s="11">
        <f ca="1">IFERROR(IF(DarlehenNichtBezahlt*DarlehenIstGut,AbschlussSaldo,""), "")</f>
        <v>7004.0392845775168</v>
      </c>
    </row>
    <row r="95" spans="2:8" ht="20.100000000000001" customHeight="1">
      <c r="B95" s="9">
        <f ca="1">IFERROR(IF(DarlehenNichtBezahlt*DarlehenIstGut,ZahlungNummer,""), "")</f>
        <v>86</v>
      </c>
      <c r="C95" s="10">
        <f ca="1">IFERROR(IF(DarlehenNichtBezahlt*DarlehenIstGut,ZahlungsDatum,""), "")</f>
        <v>46769</v>
      </c>
      <c r="D95" s="11">
        <f ca="1">IFERROR(IF(DarlehenNichtBezahlt*DarlehenIstGut,DarlehensWert,""), "")</f>
        <v>7004.0392845775168</v>
      </c>
      <c r="E95" s="11">
        <f ca="1">IFERROR(IF(DarlehenNichtBezahlt*DarlehenIstGut,MonatlicheZahlung,""), "")</f>
        <v>217.05255592096145</v>
      </c>
      <c r="F95" s="11">
        <f ca="1">IFERROR(IF(DarlehenNichtBezahlt*DarlehenIstGut,Kapital,""), "")</f>
        <v>184.95070919998102</v>
      </c>
      <c r="G95" s="11">
        <f ca="1">IFERROR(IF(DarlehenNichtBezahlt*DarlehenIstGut,ZinsBetrag,""), "")</f>
        <v>32.101846720980426</v>
      </c>
      <c r="H95" s="11">
        <f ca="1">IFERROR(IF(DarlehenNichtBezahlt*DarlehenIstGut,AbschlussSaldo,""), "")</f>
        <v>6819.0885753775328</v>
      </c>
    </row>
    <row r="96" spans="2:8" ht="20.100000000000001" customHeight="1">
      <c r="B96" s="9">
        <f ca="1">IFERROR(IF(DarlehenNichtBezahlt*DarlehenIstGut,ZahlungNummer,""), "")</f>
        <v>87</v>
      </c>
      <c r="C96" s="10">
        <f ca="1">IFERROR(IF(DarlehenNichtBezahlt*DarlehenIstGut,ZahlungsDatum,""), "")</f>
        <v>46800</v>
      </c>
      <c r="D96" s="11">
        <f ca="1">IFERROR(IF(DarlehenNichtBezahlt*DarlehenIstGut,DarlehensWert,""), "")</f>
        <v>6819.0885753775328</v>
      </c>
      <c r="E96" s="11">
        <f ca="1">IFERROR(IF(DarlehenNichtBezahlt*DarlehenIstGut,MonatlicheZahlung,""), "")</f>
        <v>217.05255592096145</v>
      </c>
      <c r="F96" s="11">
        <f ca="1">IFERROR(IF(DarlehenNichtBezahlt*DarlehenIstGut,Kapital,""), "")</f>
        <v>185.79839995048093</v>
      </c>
      <c r="G96" s="11">
        <f ca="1">IFERROR(IF(DarlehenNichtBezahlt*DarlehenIstGut,ZinsBetrag,""), "")</f>
        <v>31.254155970480504</v>
      </c>
      <c r="H96" s="11">
        <f ca="1">IFERROR(IF(DarlehenNichtBezahlt*DarlehenIstGut,AbschlussSaldo,""), "")</f>
        <v>6633.2901754270533</v>
      </c>
    </row>
    <row r="97" spans="2:8" ht="20.100000000000001" customHeight="1">
      <c r="B97" s="9">
        <f ca="1">IFERROR(IF(DarlehenNichtBezahlt*DarlehenIstGut,ZahlungNummer,""), "")</f>
        <v>88</v>
      </c>
      <c r="C97" s="10">
        <f ca="1">IFERROR(IF(DarlehenNichtBezahlt*DarlehenIstGut,ZahlungsDatum,""), "")</f>
        <v>46829</v>
      </c>
      <c r="D97" s="11">
        <f ca="1">IFERROR(IF(DarlehenNichtBezahlt*DarlehenIstGut,DarlehensWert,""), "")</f>
        <v>6633.2901754270533</v>
      </c>
      <c r="E97" s="11">
        <f ca="1">IFERROR(IF(DarlehenNichtBezahlt*DarlehenIstGut,MonatlicheZahlung,""), "")</f>
        <v>217.05255592096145</v>
      </c>
      <c r="F97" s="11">
        <f ca="1">IFERROR(IF(DarlehenNichtBezahlt*DarlehenIstGut,Kapital,""), "")</f>
        <v>186.64997595025397</v>
      </c>
      <c r="G97" s="11">
        <f ca="1">IFERROR(IF(DarlehenNichtBezahlt*DarlehenIstGut,ZinsBetrag,""), "")</f>
        <v>30.402579970707464</v>
      </c>
      <c r="H97" s="11">
        <f ca="1">IFERROR(IF(DarlehenNichtBezahlt*DarlehenIstGut,AbschlussSaldo,""), "")</f>
        <v>6446.6401994767984</v>
      </c>
    </row>
    <row r="98" spans="2:8" ht="20.100000000000001" customHeight="1">
      <c r="B98" s="9">
        <f ca="1">IFERROR(IF(DarlehenNichtBezahlt*DarlehenIstGut,ZahlungNummer,""), "")</f>
        <v>89</v>
      </c>
      <c r="C98" s="10">
        <f ca="1">IFERROR(IF(DarlehenNichtBezahlt*DarlehenIstGut,ZahlungsDatum,""), "")</f>
        <v>46860</v>
      </c>
      <c r="D98" s="11">
        <f ca="1">IFERROR(IF(DarlehenNichtBezahlt*DarlehenIstGut,DarlehensWert,""), "")</f>
        <v>6446.6401994767984</v>
      </c>
      <c r="E98" s="11">
        <f ca="1">IFERROR(IF(DarlehenNichtBezahlt*DarlehenIstGut,MonatlicheZahlung,""), "")</f>
        <v>217.05255592096145</v>
      </c>
      <c r="F98" s="11">
        <f ca="1">IFERROR(IF(DarlehenNichtBezahlt*DarlehenIstGut,Kapital,""), "")</f>
        <v>187.50545500669264</v>
      </c>
      <c r="G98" s="11">
        <f ca="1">IFERROR(IF(DarlehenNichtBezahlt*DarlehenIstGut,ZinsBetrag,""), "")</f>
        <v>29.5471009142688</v>
      </c>
      <c r="H98" s="11">
        <f ca="1">IFERROR(IF(DarlehenNichtBezahlt*DarlehenIstGut,AbschlussSaldo,""), "")</f>
        <v>6259.1347444701096</v>
      </c>
    </row>
    <row r="99" spans="2:8" ht="20.100000000000001" customHeight="1">
      <c r="B99" s="9">
        <f ca="1">IFERROR(IF(DarlehenNichtBezahlt*DarlehenIstGut,ZahlungNummer,""), "")</f>
        <v>90</v>
      </c>
      <c r="C99" s="10">
        <f ca="1">IFERROR(IF(DarlehenNichtBezahlt*DarlehenIstGut,ZahlungsDatum,""), "")</f>
        <v>46890</v>
      </c>
      <c r="D99" s="11">
        <f ca="1">IFERROR(IF(DarlehenNichtBezahlt*DarlehenIstGut,DarlehensWert,""), "")</f>
        <v>6259.1347444701096</v>
      </c>
      <c r="E99" s="11">
        <f ca="1">IFERROR(IF(DarlehenNichtBezahlt*DarlehenIstGut,MonatlicheZahlung,""), "")</f>
        <v>217.05255592096145</v>
      </c>
      <c r="F99" s="11">
        <f ca="1">IFERROR(IF(DarlehenNichtBezahlt*DarlehenIstGut,Kapital,""), "")</f>
        <v>188.36485500880664</v>
      </c>
      <c r="G99" s="11">
        <f ca="1">IFERROR(IF(DarlehenNichtBezahlt*DarlehenIstGut,ZinsBetrag,""), "")</f>
        <v>28.687700912154803</v>
      </c>
      <c r="H99" s="11">
        <f ca="1">IFERROR(IF(DarlehenNichtBezahlt*DarlehenIstGut,AbschlussSaldo,""), "")</f>
        <v>6070.7698894613022</v>
      </c>
    </row>
    <row r="100" spans="2:8" ht="20.100000000000001" customHeight="1">
      <c r="B100" s="9">
        <f ca="1">IFERROR(IF(DarlehenNichtBezahlt*DarlehenIstGut,ZahlungNummer,""), "")</f>
        <v>91</v>
      </c>
      <c r="C100" s="10">
        <f ca="1">IFERROR(IF(DarlehenNichtBezahlt*DarlehenIstGut,ZahlungsDatum,""), "")</f>
        <v>46921</v>
      </c>
      <c r="D100" s="11">
        <f ca="1">IFERROR(IF(DarlehenNichtBezahlt*DarlehenIstGut,DarlehensWert,""), "")</f>
        <v>6070.7698894613022</v>
      </c>
      <c r="E100" s="11">
        <f ca="1">IFERROR(IF(DarlehenNichtBezahlt*DarlehenIstGut,MonatlicheZahlung,""), "")</f>
        <v>217.05255592096145</v>
      </c>
      <c r="F100" s="11">
        <f ca="1">IFERROR(IF(DarlehenNichtBezahlt*DarlehenIstGut,Kapital,""), "")</f>
        <v>189.22819392759703</v>
      </c>
      <c r="G100" s="11">
        <f ca="1">IFERROR(IF(DarlehenNichtBezahlt*DarlehenIstGut,ZinsBetrag,""), "")</f>
        <v>27.824361993364434</v>
      </c>
      <c r="H100" s="11">
        <f ca="1">IFERROR(IF(DarlehenNichtBezahlt*DarlehenIstGut,AbschlussSaldo,""), "")</f>
        <v>5881.5416955337059</v>
      </c>
    </row>
    <row r="101" spans="2:8" ht="20.100000000000001" customHeight="1">
      <c r="B101" s="9">
        <f ca="1">IFERROR(IF(DarlehenNichtBezahlt*DarlehenIstGut,ZahlungNummer,""), "")</f>
        <v>92</v>
      </c>
      <c r="C101" s="10">
        <f ca="1">IFERROR(IF(DarlehenNichtBezahlt*DarlehenIstGut,ZahlungsDatum,""), "")</f>
        <v>46951</v>
      </c>
      <c r="D101" s="11">
        <f ca="1">IFERROR(IF(DarlehenNichtBezahlt*DarlehenIstGut,DarlehensWert,""), "")</f>
        <v>5881.5416955337059</v>
      </c>
      <c r="E101" s="11">
        <f ca="1">IFERROR(IF(DarlehenNichtBezahlt*DarlehenIstGut,MonatlicheZahlung,""), "")</f>
        <v>217.05255592096145</v>
      </c>
      <c r="F101" s="11">
        <f ca="1">IFERROR(IF(DarlehenNichtBezahlt*DarlehenIstGut,Kapital,""), "")</f>
        <v>190.09548981643184</v>
      </c>
      <c r="G101" s="11">
        <f ca="1">IFERROR(IF(DarlehenNichtBezahlt*DarlehenIstGut,ZinsBetrag,""), "")</f>
        <v>26.957066104529609</v>
      </c>
      <c r="H101" s="11">
        <f ca="1">IFERROR(IF(DarlehenNichtBezahlt*DarlehenIstGut,AbschlussSaldo,""), "")</f>
        <v>5691.446205717275</v>
      </c>
    </row>
    <row r="102" spans="2:8" ht="20.100000000000001" customHeight="1">
      <c r="B102" s="9">
        <f ca="1">IFERROR(IF(DarlehenNichtBezahlt*DarlehenIstGut,ZahlungNummer,""), "")</f>
        <v>93</v>
      </c>
      <c r="C102" s="10">
        <f ca="1">IFERROR(IF(DarlehenNichtBezahlt*DarlehenIstGut,ZahlungsDatum,""), "")</f>
        <v>46982</v>
      </c>
      <c r="D102" s="11">
        <f ca="1">IFERROR(IF(DarlehenNichtBezahlt*DarlehenIstGut,DarlehensWert,""), "")</f>
        <v>5691.446205717275</v>
      </c>
      <c r="E102" s="11">
        <f ca="1">IFERROR(IF(DarlehenNichtBezahlt*DarlehenIstGut,MonatlicheZahlung,""), "")</f>
        <v>217.05255592096145</v>
      </c>
      <c r="F102" s="11">
        <f ca="1">IFERROR(IF(DarlehenNichtBezahlt*DarlehenIstGut,Kapital,""), "")</f>
        <v>190.96676081142382</v>
      </c>
      <c r="G102" s="11">
        <f ca="1">IFERROR(IF(DarlehenNichtBezahlt*DarlehenIstGut,ZinsBetrag,""), "")</f>
        <v>26.085795109537631</v>
      </c>
      <c r="H102" s="11">
        <f ca="1">IFERROR(IF(DarlehenNichtBezahlt*DarlehenIstGut,AbschlussSaldo,""), "")</f>
        <v>5500.4794449058463</v>
      </c>
    </row>
    <row r="103" spans="2:8" ht="20.100000000000001" customHeight="1">
      <c r="B103" s="9">
        <f ca="1">IFERROR(IF(DarlehenNichtBezahlt*DarlehenIstGut,ZahlungNummer,""), "")</f>
        <v>94</v>
      </c>
      <c r="C103" s="10">
        <f ca="1">IFERROR(IF(DarlehenNichtBezahlt*DarlehenIstGut,ZahlungsDatum,""), "")</f>
        <v>47013</v>
      </c>
      <c r="D103" s="11">
        <f ca="1">IFERROR(IF(DarlehenNichtBezahlt*DarlehenIstGut,DarlehensWert,""), "")</f>
        <v>5500.4794449058463</v>
      </c>
      <c r="E103" s="11">
        <f ca="1">IFERROR(IF(DarlehenNichtBezahlt*DarlehenIstGut,MonatlicheZahlung,""), "")</f>
        <v>217.05255592096145</v>
      </c>
      <c r="F103" s="11">
        <f ca="1">IFERROR(IF(DarlehenNichtBezahlt*DarlehenIstGut,Kapital,""), "")</f>
        <v>191.84202513180952</v>
      </c>
      <c r="G103" s="11">
        <f ca="1">IFERROR(IF(DarlehenNichtBezahlt*DarlehenIstGut,ZinsBetrag,""), "")</f>
        <v>25.210530789151942</v>
      </c>
      <c r="H103" s="11">
        <f ca="1">IFERROR(IF(DarlehenNichtBezahlt*DarlehenIstGut,AbschlussSaldo,""), "")</f>
        <v>5308.6374197740406</v>
      </c>
    </row>
    <row r="104" spans="2:8" ht="20.100000000000001" customHeight="1">
      <c r="B104" s="9">
        <f ca="1">IFERROR(IF(DarlehenNichtBezahlt*DarlehenIstGut,ZahlungNummer,""), "")</f>
        <v>95</v>
      </c>
      <c r="C104" s="10">
        <f ca="1">IFERROR(IF(DarlehenNichtBezahlt*DarlehenIstGut,ZahlungsDatum,""), "")</f>
        <v>47043</v>
      </c>
      <c r="D104" s="11">
        <f ca="1">IFERROR(IF(DarlehenNichtBezahlt*DarlehenIstGut,DarlehensWert,""), "")</f>
        <v>5308.6374197740406</v>
      </c>
      <c r="E104" s="11">
        <f ca="1">IFERROR(IF(DarlehenNichtBezahlt*DarlehenIstGut,MonatlicheZahlung,""), "")</f>
        <v>217.05255592096145</v>
      </c>
      <c r="F104" s="11">
        <f ca="1">IFERROR(IF(DarlehenNichtBezahlt*DarlehenIstGut,Kapital,""), "")</f>
        <v>192.72130108033031</v>
      </c>
      <c r="G104" s="11">
        <f ca="1">IFERROR(IF(DarlehenNichtBezahlt*DarlehenIstGut,ZinsBetrag,""), "")</f>
        <v>24.33125484063115</v>
      </c>
      <c r="H104" s="11">
        <f ca="1">IFERROR(IF(DarlehenNichtBezahlt*DarlehenIstGut,AbschlussSaldo,""), "")</f>
        <v>5115.916118693709</v>
      </c>
    </row>
    <row r="105" spans="2:8" ht="20.100000000000001" customHeight="1">
      <c r="B105" s="9">
        <f ca="1">IFERROR(IF(DarlehenNichtBezahlt*DarlehenIstGut,ZahlungNummer,""), "")</f>
        <v>96</v>
      </c>
      <c r="C105" s="10">
        <f ca="1">IFERROR(IF(DarlehenNichtBezahlt*DarlehenIstGut,ZahlungsDatum,""), "")</f>
        <v>47074</v>
      </c>
      <c r="D105" s="11">
        <f ca="1">IFERROR(IF(DarlehenNichtBezahlt*DarlehenIstGut,DarlehensWert,""), "")</f>
        <v>5115.916118693709</v>
      </c>
      <c r="E105" s="11">
        <f ca="1">IFERROR(IF(DarlehenNichtBezahlt*DarlehenIstGut,MonatlicheZahlung,""), "")</f>
        <v>217.05255592096145</v>
      </c>
      <c r="F105" s="11">
        <f ca="1">IFERROR(IF(DarlehenNichtBezahlt*DarlehenIstGut,Kapital,""), "")</f>
        <v>193.60460704361518</v>
      </c>
      <c r="G105" s="11">
        <f ca="1">IFERROR(IF(DarlehenNichtBezahlt*DarlehenIstGut,ZinsBetrag,""), "")</f>
        <v>23.447948877346299</v>
      </c>
      <c r="H105" s="11">
        <f ca="1">IFERROR(IF(DarlehenNichtBezahlt*DarlehenIstGut,AbschlussSaldo,""), "")</f>
        <v>4922.3115116500885</v>
      </c>
    </row>
    <row r="106" spans="2:8" ht="20.100000000000001" customHeight="1">
      <c r="B106" s="9">
        <f ca="1">IFERROR(IF(DarlehenNichtBezahlt*DarlehenIstGut,ZahlungNummer,""), "")</f>
        <v>97</v>
      </c>
      <c r="C106" s="10">
        <f ca="1">IFERROR(IF(DarlehenNichtBezahlt*DarlehenIstGut,ZahlungsDatum,""), "")</f>
        <v>47104</v>
      </c>
      <c r="D106" s="11">
        <f ca="1">IFERROR(IF(DarlehenNichtBezahlt*DarlehenIstGut,DarlehensWert,""), "")</f>
        <v>4922.3115116500885</v>
      </c>
      <c r="E106" s="11">
        <f ca="1">IFERROR(IF(DarlehenNichtBezahlt*DarlehenIstGut,MonatlicheZahlung,""), "")</f>
        <v>217.05255592096145</v>
      </c>
      <c r="F106" s="11">
        <f ca="1">IFERROR(IF(DarlehenNichtBezahlt*DarlehenIstGut,Kapital,""), "")</f>
        <v>194.49196149256505</v>
      </c>
      <c r="G106" s="11">
        <f ca="1">IFERROR(IF(DarlehenNichtBezahlt*DarlehenIstGut,ZinsBetrag,""), "")</f>
        <v>22.560594428396396</v>
      </c>
      <c r="H106" s="11">
        <f ca="1">IFERROR(IF(DarlehenNichtBezahlt*DarlehenIstGut,AbschlussSaldo,""), "")</f>
        <v>4727.819550157521</v>
      </c>
    </row>
    <row r="107" spans="2:8" ht="20.100000000000001" customHeight="1">
      <c r="B107" s="9">
        <f ca="1">IFERROR(IF(DarlehenNichtBezahlt*DarlehenIstGut,ZahlungNummer,""), "")</f>
        <v>98</v>
      </c>
      <c r="C107" s="10">
        <f ca="1">IFERROR(IF(DarlehenNichtBezahlt*DarlehenIstGut,ZahlungsDatum,""), "")</f>
        <v>47135</v>
      </c>
      <c r="D107" s="11">
        <f ca="1">IFERROR(IF(DarlehenNichtBezahlt*DarlehenIstGut,DarlehensWert,""), "")</f>
        <v>4727.819550157521</v>
      </c>
      <c r="E107" s="11">
        <f ca="1">IFERROR(IF(DarlehenNichtBezahlt*DarlehenIstGut,MonatlicheZahlung,""), "")</f>
        <v>217.05255592096145</v>
      </c>
      <c r="F107" s="11">
        <f ca="1">IFERROR(IF(DarlehenNichtBezahlt*DarlehenIstGut,Kapital,""), "")</f>
        <v>195.38338298273931</v>
      </c>
      <c r="G107" s="11">
        <f ca="1">IFERROR(IF(DarlehenNichtBezahlt*DarlehenIstGut,ZinsBetrag,""), "")</f>
        <v>21.669172938222143</v>
      </c>
      <c r="H107" s="11">
        <f ca="1">IFERROR(IF(DarlehenNichtBezahlt*DarlehenIstGut,AbschlussSaldo,""), "")</f>
        <v>4532.4361671747793</v>
      </c>
    </row>
    <row r="108" spans="2:8" ht="20.100000000000001" customHeight="1">
      <c r="B108" s="9">
        <f ca="1">IFERROR(IF(DarlehenNichtBezahlt*DarlehenIstGut,ZahlungNummer,""), "")</f>
        <v>99</v>
      </c>
      <c r="C108" s="10">
        <f ca="1">IFERROR(IF(DarlehenNichtBezahlt*DarlehenIstGut,ZahlungsDatum,""), "")</f>
        <v>47166</v>
      </c>
      <c r="D108" s="11">
        <f ca="1">IFERROR(IF(DarlehenNichtBezahlt*DarlehenIstGut,DarlehensWert,""), "")</f>
        <v>4532.4361671747793</v>
      </c>
      <c r="E108" s="11">
        <f ca="1">IFERROR(IF(DarlehenNichtBezahlt*DarlehenIstGut,MonatlicheZahlung,""), "")</f>
        <v>217.05255592096145</v>
      </c>
      <c r="F108" s="11">
        <f ca="1">IFERROR(IF(DarlehenNichtBezahlt*DarlehenIstGut,Kapital,""), "")</f>
        <v>196.27889015474352</v>
      </c>
      <c r="G108" s="11">
        <f ca="1">IFERROR(IF(DarlehenNichtBezahlt*DarlehenIstGut,ZinsBetrag,""), "")</f>
        <v>20.773665766217917</v>
      </c>
      <c r="H108" s="11">
        <f ca="1">IFERROR(IF(DarlehenNichtBezahlt*DarlehenIstGut,AbschlussSaldo,""), "")</f>
        <v>4336.1572770200401</v>
      </c>
    </row>
    <row r="109" spans="2:8" ht="20.100000000000001" customHeight="1">
      <c r="B109" s="9">
        <f ca="1">IFERROR(IF(DarlehenNichtBezahlt*DarlehenIstGut,ZahlungNummer,""), "")</f>
        <v>100</v>
      </c>
      <c r="C109" s="10">
        <f ca="1">IFERROR(IF(DarlehenNichtBezahlt*DarlehenIstGut,ZahlungsDatum,""), "")</f>
        <v>47194</v>
      </c>
      <c r="D109" s="11">
        <f ca="1">IFERROR(IF(DarlehenNichtBezahlt*DarlehenIstGut,DarlehensWert,""), "")</f>
        <v>4336.1572770200401</v>
      </c>
      <c r="E109" s="11">
        <f ca="1">IFERROR(IF(DarlehenNichtBezahlt*DarlehenIstGut,MonatlicheZahlung,""), "")</f>
        <v>217.05255592096145</v>
      </c>
      <c r="F109" s="11">
        <f ca="1">IFERROR(IF(DarlehenNichtBezahlt*DarlehenIstGut,Kapital,""), "")</f>
        <v>197.17850173461946</v>
      </c>
      <c r="G109" s="11">
        <f ca="1">IFERROR(IF(DarlehenNichtBezahlt*DarlehenIstGut,ZinsBetrag,""), "")</f>
        <v>19.874054186342008</v>
      </c>
      <c r="H109" s="11">
        <f ca="1">IFERROR(IF(DarlehenNichtBezahlt*DarlehenIstGut,AbschlussSaldo,""), "")</f>
        <v>4138.9787752854209</v>
      </c>
    </row>
    <row r="110" spans="2:8" ht="20.100000000000001" customHeight="1">
      <c r="B110" s="9">
        <f ca="1">IFERROR(IF(DarlehenNichtBezahlt*DarlehenIstGut,ZahlungNummer,""), "")</f>
        <v>101</v>
      </c>
      <c r="C110" s="10">
        <f ca="1">IFERROR(IF(DarlehenNichtBezahlt*DarlehenIstGut,ZahlungsDatum,""), "")</f>
        <v>47225</v>
      </c>
      <c r="D110" s="11">
        <f ca="1">IFERROR(IF(DarlehenNichtBezahlt*DarlehenIstGut,DarlehensWert,""), "")</f>
        <v>4138.9787752854209</v>
      </c>
      <c r="E110" s="11">
        <f ca="1">IFERROR(IF(DarlehenNichtBezahlt*DarlehenIstGut,MonatlicheZahlung,""), "")</f>
        <v>217.05255592096145</v>
      </c>
      <c r="F110" s="11">
        <f ca="1">IFERROR(IF(DarlehenNichtBezahlt*DarlehenIstGut,Kapital,""), "")</f>
        <v>198.08223653423644</v>
      </c>
      <c r="G110" s="11">
        <f ca="1">IFERROR(IF(DarlehenNichtBezahlt*DarlehenIstGut,ZinsBetrag,""), "")</f>
        <v>18.970319386725006</v>
      </c>
      <c r="H110" s="11">
        <f ca="1">IFERROR(IF(DarlehenNichtBezahlt*DarlehenIstGut,AbschlussSaldo,""), "")</f>
        <v>3940.8965387511744</v>
      </c>
    </row>
    <row r="111" spans="2:8" ht="20.100000000000001" customHeight="1">
      <c r="B111" s="9">
        <f ca="1">IFERROR(IF(DarlehenNichtBezahlt*DarlehenIstGut,ZahlungNummer,""), "")</f>
        <v>102</v>
      </c>
      <c r="C111" s="10">
        <f ca="1">IFERROR(IF(DarlehenNichtBezahlt*DarlehenIstGut,ZahlungsDatum,""), "")</f>
        <v>47255</v>
      </c>
      <c r="D111" s="11">
        <f ca="1">IFERROR(IF(DarlehenNichtBezahlt*DarlehenIstGut,DarlehensWert,""), "")</f>
        <v>3940.8965387511744</v>
      </c>
      <c r="E111" s="11">
        <f ca="1">IFERROR(IF(DarlehenNichtBezahlt*DarlehenIstGut,MonatlicheZahlung,""), "")</f>
        <v>217.05255592096145</v>
      </c>
      <c r="F111" s="11">
        <f ca="1">IFERROR(IF(DarlehenNichtBezahlt*DarlehenIstGut,Kapital,""), "")</f>
        <v>198.99011345168506</v>
      </c>
      <c r="G111" s="11">
        <f ca="1">IFERROR(IF(DarlehenNichtBezahlt*DarlehenIstGut,ZinsBetrag,""), "")</f>
        <v>18.062442469276419</v>
      </c>
      <c r="H111" s="11">
        <f ca="1">IFERROR(IF(DarlehenNichtBezahlt*DarlehenIstGut,AbschlussSaldo,""), "")</f>
        <v>3741.9064252994904</v>
      </c>
    </row>
    <row r="112" spans="2:8" ht="20.100000000000001" customHeight="1">
      <c r="B112" s="9">
        <f ca="1">IFERROR(IF(DarlehenNichtBezahlt*DarlehenIstGut,ZahlungNummer,""), "")</f>
        <v>103</v>
      </c>
      <c r="C112" s="10">
        <f ca="1">IFERROR(IF(DarlehenNichtBezahlt*DarlehenIstGut,ZahlungsDatum,""), "")</f>
        <v>47286</v>
      </c>
      <c r="D112" s="11">
        <f ca="1">IFERROR(IF(DarlehenNichtBezahlt*DarlehenIstGut,DarlehensWert,""), "")</f>
        <v>3741.9064252994904</v>
      </c>
      <c r="E112" s="11">
        <f ca="1">IFERROR(IF(DarlehenNichtBezahlt*DarlehenIstGut,MonatlicheZahlung,""), "")</f>
        <v>217.05255592096145</v>
      </c>
      <c r="F112" s="11">
        <f ca="1">IFERROR(IF(DarlehenNichtBezahlt*DarlehenIstGut,Kapital,""), "")</f>
        <v>199.90215147167191</v>
      </c>
      <c r="G112" s="11">
        <f ca="1">IFERROR(IF(DarlehenNichtBezahlt*DarlehenIstGut,ZinsBetrag,""), "")</f>
        <v>17.150404449289532</v>
      </c>
      <c r="H112" s="11">
        <f ca="1">IFERROR(IF(DarlehenNichtBezahlt*DarlehenIstGut,AbschlussSaldo,""), "")</f>
        <v>3542.0042738278207</v>
      </c>
    </row>
    <row r="113" spans="2:8" ht="20.100000000000001" customHeight="1">
      <c r="B113" s="9">
        <f ca="1">IFERROR(IF(DarlehenNichtBezahlt*DarlehenIstGut,ZahlungNummer,""), "")</f>
        <v>104</v>
      </c>
      <c r="C113" s="10">
        <f ca="1">IFERROR(IF(DarlehenNichtBezahlt*DarlehenIstGut,ZahlungsDatum,""), "")</f>
        <v>47316</v>
      </c>
      <c r="D113" s="11">
        <f ca="1">IFERROR(IF(DarlehenNichtBezahlt*DarlehenIstGut,DarlehensWert,""), "")</f>
        <v>3542.0042738278207</v>
      </c>
      <c r="E113" s="11">
        <f ca="1">IFERROR(IF(DarlehenNichtBezahlt*DarlehenIstGut,MonatlicheZahlung,""), "")</f>
        <v>217.05255592096145</v>
      </c>
      <c r="F113" s="11">
        <f ca="1">IFERROR(IF(DarlehenNichtBezahlt*DarlehenIstGut,Kapital,""), "")</f>
        <v>200.81836966591706</v>
      </c>
      <c r="G113" s="11">
        <f ca="1">IFERROR(IF(DarlehenNichtBezahlt*DarlehenIstGut,ZinsBetrag,""), "")</f>
        <v>16.234186255044367</v>
      </c>
      <c r="H113" s="11">
        <f ca="1">IFERROR(IF(DarlehenNichtBezahlt*DarlehenIstGut,AbschlussSaldo,""), "")</f>
        <v>3341.1859041619136</v>
      </c>
    </row>
    <row r="114" spans="2:8" ht="20.100000000000001" customHeight="1">
      <c r="B114" s="9">
        <f ca="1">IFERROR(IF(DarlehenNichtBezahlt*DarlehenIstGut,ZahlungNummer,""), "")</f>
        <v>105</v>
      </c>
      <c r="C114" s="10">
        <f ca="1">IFERROR(IF(DarlehenNichtBezahlt*DarlehenIstGut,ZahlungsDatum,""), "")</f>
        <v>47347</v>
      </c>
      <c r="D114" s="11">
        <f ca="1">IFERROR(IF(DarlehenNichtBezahlt*DarlehenIstGut,DarlehensWert,""), "")</f>
        <v>3341.1859041619136</v>
      </c>
      <c r="E114" s="11">
        <f ca="1">IFERROR(IF(DarlehenNichtBezahlt*DarlehenIstGut,MonatlicheZahlung,""), "")</f>
        <v>217.05255592096145</v>
      </c>
      <c r="F114" s="11">
        <f ca="1">IFERROR(IF(DarlehenNichtBezahlt*DarlehenIstGut,Kapital,""), "")</f>
        <v>201.73878719355253</v>
      </c>
      <c r="G114" s="11">
        <f ca="1">IFERROR(IF(DarlehenNichtBezahlt*DarlehenIstGut,ZinsBetrag,""), "")</f>
        <v>15.313768727408917</v>
      </c>
      <c r="H114" s="11">
        <f ca="1">IFERROR(IF(DarlehenNichtBezahlt*DarlehenIstGut,AbschlussSaldo,""), "")</f>
        <v>3139.4471169683493</v>
      </c>
    </row>
    <row r="115" spans="2:8" ht="20.100000000000001" customHeight="1">
      <c r="B115" s="9">
        <f ca="1">IFERROR(IF(DarlehenNichtBezahlt*DarlehenIstGut,ZahlungNummer,""), "")</f>
        <v>106</v>
      </c>
      <c r="C115" s="10">
        <f ca="1">IFERROR(IF(DarlehenNichtBezahlt*DarlehenIstGut,ZahlungsDatum,""), "")</f>
        <v>47378</v>
      </c>
      <c r="D115" s="11">
        <f ca="1">IFERROR(IF(DarlehenNichtBezahlt*DarlehenIstGut,DarlehensWert,""), "")</f>
        <v>3139.4471169683493</v>
      </c>
      <c r="E115" s="11">
        <f ca="1">IFERROR(IF(DarlehenNichtBezahlt*DarlehenIstGut,MonatlicheZahlung,""), "")</f>
        <v>217.05255592096145</v>
      </c>
      <c r="F115" s="11">
        <f ca="1">IFERROR(IF(DarlehenNichtBezahlt*DarlehenIstGut,Kapital,""), "")</f>
        <v>202.66342330152301</v>
      </c>
      <c r="G115" s="11">
        <f ca="1">IFERROR(IF(DarlehenNichtBezahlt*DarlehenIstGut,ZinsBetrag,""), "")</f>
        <v>14.389132619438465</v>
      </c>
      <c r="H115" s="11">
        <f ca="1">IFERROR(IF(DarlehenNichtBezahlt*DarlehenIstGut,AbschlussSaldo,""), "")</f>
        <v>2936.7836936668355</v>
      </c>
    </row>
    <row r="116" spans="2:8" ht="20.100000000000001" customHeight="1">
      <c r="B116" s="9">
        <f ca="1">IFERROR(IF(DarlehenNichtBezahlt*DarlehenIstGut,ZahlungNummer,""), "")</f>
        <v>107</v>
      </c>
      <c r="C116" s="10">
        <f ca="1">IFERROR(IF(DarlehenNichtBezahlt*DarlehenIstGut,ZahlungsDatum,""), "")</f>
        <v>47408</v>
      </c>
      <c r="D116" s="11">
        <f ca="1">IFERROR(IF(DarlehenNichtBezahlt*DarlehenIstGut,DarlehensWert,""), "")</f>
        <v>2936.7836936668355</v>
      </c>
      <c r="E116" s="11">
        <f ca="1">IFERROR(IF(DarlehenNichtBezahlt*DarlehenIstGut,MonatlicheZahlung,""), "")</f>
        <v>217.05255592096145</v>
      </c>
      <c r="F116" s="11">
        <f ca="1">IFERROR(IF(DarlehenNichtBezahlt*DarlehenIstGut,Kapital,""), "")</f>
        <v>203.59229732498829</v>
      </c>
      <c r="G116" s="11">
        <f ca="1">IFERROR(IF(DarlehenNichtBezahlt*DarlehenIstGut,ZinsBetrag,""), "")</f>
        <v>13.46025859597315</v>
      </c>
      <c r="H116" s="11">
        <f ca="1">IFERROR(IF(DarlehenNichtBezahlt*DarlehenIstGut,AbschlussSaldo,""), "")</f>
        <v>2733.1913963418338</v>
      </c>
    </row>
    <row r="117" spans="2:8" ht="20.100000000000001" customHeight="1">
      <c r="B117" s="9">
        <f ca="1">IFERROR(IF(DarlehenNichtBezahlt*DarlehenIstGut,ZahlungNummer,""), "")</f>
        <v>108</v>
      </c>
      <c r="C117" s="10">
        <f ca="1">IFERROR(IF(DarlehenNichtBezahlt*DarlehenIstGut,ZahlungsDatum,""), "")</f>
        <v>47439</v>
      </c>
      <c r="D117" s="11">
        <f ca="1">IFERROR(IF(DarlehenNichtBezahlt*DarlehenIstGut,DarlehensWert,""), "")</f>
        <v>2733.1913963418338</v>
      </c>
      <c r="E117" s="11">
        <f ca="1">IFERROR(IF(DarlehenNichtBezahlt*DarlehenIstGut,MonatlicheZahlung,""), "")</f>
        <v>217.05255592096145</v>
      </c>
      <c r="F117" s="11">
        <f ca="1">IFERROR(IF(DarlehenNichtBezahlt*DarlehenIstGut,Kapital,""), "")</f>
        <v>204.52542868772781</v>
      </c>
      <c r="G117" s="11">
        <f ca="1">IFERROR(IF(DarlehenNichtBezahlt*DarlehenIstGut,ZinsBetrag,""), "")</f>
        <v>12.527127233233621</v>
      </c>
      <c r="H117" s="11">
        <f ca="1">IFERROR(IF(DarlehenNichtBezahlt*DarlehenIstGut,AbschlussSaldo,""), "")</f>
        <v>2528.6659676541167</v>
      </c>
    </row>
    <row r="118" spans="2:8" ht="20.100000000000001" customHeight="1">
      <c r="B118" s="9">
        <f ca="1">IFERROR(IF(DarlehenNichtBezahlt*DarlehenIstGut,ZahlungNummer,""), "")</f>
        <v>109</v>
      </c>
      <c r="C118" s="10">
        <f ca="1">IFERROR(IF(DarlehenNichtBezahlt*DarlehenIstGut,ZahlungsDatum,""), "")</f>
        <v>47469</v>
      </c>
      <c r="D118" s="11">
        <f ca="1">IFERROR(IF(DarlehenNichtBezahlt*DarlehenIstGut,DarlehensWert,""), "")</f>
        <v>2528.6659676541167</v>
      </c>
      <c r="E118" s="11">
        <f ca="1">IFERROR(IF(DarlehenNichtBezahlt*DarlehenIstGut,MonatlicheZahlung,""), "")</f>
        <v>217.05255592096145</v>
      </c>
      <c r="F118" s="11">
        <f ca="1">IFERROR(IF(DarlehenNichtBezahlt*DarlehenIstGut,Kapital,""), "")</f>
        <v>205.46283690254657</v>
      </c>
      <c r="G118" s="11">
        <f ca="1">IFERROR(IF(DarlehenNichtBezahlt*DarlehenIstGut,ZinsBetrag,""), "")</f>
        <v>11.58971901841487</v>
      </c>
      <c r="H118" s="11">
        <f ca="1">IFERROR(IF(DarlehenNichtBezahlt*DarlehenIstGut,AbschlussSaldo,""), "")</f>
        <v>2323.2031307515717</v>
      </c>
    </row>
    <row r="119" spans="2:8" ht="20.100000000000001" customHeight="1">
      <c r="B119" s="9">
        <f ca="1">IFERROR(IF(DarlehenNichtBezahlt*DarlehenIstGut,ZahlungNummer,""), "")</f>
        <v>110</v>
      </c>
      <c r="C119" s="10">
        <f ca="1">IFERROR(IF(DarlehenNichtBezahlt*DarlehenIstGut,ZahlungsDatum,""), "")</f>
        <v>47500</v>
      </c>
      <c r="D119" s="11">
        <f ca="1">IFERROR(IF(DarlehenNichtBezahlt*DarlehenIstGut,DarlehensWert,""), "")</f>
        <v>2323.2031307515717</v>
      </c>
      <c r="E119" s="11">
        <f ca="1">IFERROR(IF(DarlehenNichtBezahlt*DarlehenIstGut,MonatlicheZahlung,""), "")</f>
        <v>217.05255592096145</v>
      </c>
      <c r="F119" s="11">
        <f ca="1">IFERROR(IF(DarlehenNichtBezahlt*DarlehenIstGut,Kapital,""), "")</f>
        <v>206.40454157168324</v>
      </c>
      <c r="G119" s="11">
        <f ca="1">IFERROR(IF(DarlehenNichtBezahlt*DarlehenIstGut,ZinsBetrag,""), "")</f>
        <v>10.648014349278197</v>
      </c>
      <c r="H119" s="11">
        <f ca="1">IFERROR(IF(DarlehenNichtBezahlt*DarlehenIstGut,AbschlussSaldo,""), "")</f>
        <v>2116.7985891798853</v>
      </c>
    </row>
    <row r="120" spans="2:8" ht="20.100000000000001" customHeight="1">
      <c r="B120" s="9">
        <f ca="1">IFERROR(IF(DarlehenNichtBezahlt*DarlehenIstGut,ZahlungNummer,""), "")</f>
        <v>111</v>
      </c>
      <c r="C120" s="10">
        <f ca="1">IFERROR(IF(DarlehenNichtBezahlt*DarlehenIstGut,ZahlungsDatum,""), "")</f>
        <v>47531</v>
      </c>
      <c r="D120" s="11">
        <f ca="1">IFERROR(IF(DarlehenNichtBezahlt*DarlehenIstGut,DarlehensWert,""), "")</f>
        <v>2116.7985891798853</v>
      </c>
      <c r="E120" s="11">
        <f ca="1">IFERROR(IF(DarlehenNichtBezahlt*DarlehenIstGut,MonatlicheZahlung,""), "")</f>
        <v>217.05255592096145</v>
      </c>
      <c r="F120" s="11">
        <f ca="1">IFERROR(IF(DarlehenNichtBezahlt*DarlehenIstGut,Kapital,""), "")</f>
        <v>207.35056238722012</v>
      </c>
      <c r="G120" s="11">
        <f ca="1">IFERROR(IF(DarlehenNichtBezahlt*DarlehenIstGut,ZinsBetrag,""), "")</f>
        <v>9.7019935337413159</v>
      </c>
      <c r="H120" s="11">
        <f ca="1">IFERROR(IF(DarlehenNichtBezahlt*DarlehenIstGut,AbschlussSaldo,""), "")</f>
        <v>1909.4480267926665</v>
      </c>
    </row>
    <row r="121" spans="2:8" ht="20.100000000000001" customHeight="1">
      <c r="B121" s="9">
        <f ca="1">IFERROR(IF(DarlehenNichtBezahlt*DarlehenIstGut,ZahlungNummer,""), "")</f>
        <v>112</v>
      </c>
      <c r="C121" s="10">
        <f ca="1">IFERROR(IF(DarlehenNichtBezahlt*DarlehenIstGut,ZahlungsDatum,""), "")</f>
        <v>47559</v>
      </c>
      <c r="D121" s="11">
        <f ca="1">IFERROR(IF(DarlehenNichtBezahlt*DarlehenIstGut,DarlehensWert,""), "")</f>
        <v>1909.4480267926665</v>
      </c>
      <c r="E121" s="11">
        <f ca="1">IFERROR(IF(DarlehenNichtBezahlt*DarlehenIstGut,MonatlicheZahlung,""), "")</f>
        <v>217.05255592096145</v>
      </c>
      <c r="F121" s="11">
        <f ca="1">IFERROR(IF(DarlehenNichtBezahlt*DarlehenIstGut,Kapital,""), "")</f>
        <v>208.30091913149488</v>
      </c>
      <c r="G121" s="11">
        <f ca="1">IFERROR(IF(DarlehenNichtBezahlt*DarlehenIstGut,ZinsBetrag,""), "")</f>
        <v>8.7516367894665574</v>
      </c>
      <c r="H121" s="11">
        <f ca="1">IFERROR(IF(DarlehenNichtBezahlt*DarlehenIstGut,AbschlussSaldo,""), "")</f>
        <v>1701.1471076611633</v>
      </c>
    </row>
    <row r="122" spans="2:8" ht="20.100000000000001" customHeight="1">
      <c r="B122" s="9">
        <f ca="1">IFERROR(IF(DarlehenNichtBezahlt*DarlehenIstGut,ZahlungNummer,""), "")</f>
        <v>113</v>
      </c>
      <c r="C122" s="10">
        <f ca="1">IFERROR(IF(DarlehenNichtBezahlt*DarlehenIstGut,ZahlungsDatum,""), "")</f>
        <v>47590</v>
      </c>
      <c r="D122" s="11">
        <f ca="1">IFERROR(IF(DarlehenNichtBezahlt*DarlehenIstGut,DarlehensWert,""), "")</f>
        <v>1701.1471076611633</v>
      </c>
      <c r="E122" s="11">
        <f ca="1">IFERROR(IF(DarlehenNichtBezahlt*DarlehenIstGut,MonatlicheZahlung,""), "")</f>
        <v>217.05255592096145</v>
      </c>
      <c r="F122" s="11">
        <f ca="1">IFERROR(IF(DarlehenNichtBezahlt*DarlehenIstGut,Kapital,""), "")</f>
        <v>209.25563167751426</v>
      </c>
      <c r="G122" s="11">
        <f ca="1">IFERROR(IF(DarlehenNichtBezahlt*DarlehenIstGut,ZinsBetrag,""), "")</f>
        <v>7.7969242434472052</v>
      </c>
      <c r="H122" s="11">
        <f ca="1">IFERROR(IF(DarlehenNichtBezahlt*DarlehenIstGut,AbschlussSaldo,""), "")</f>
        <v>1491.891475983648</v>
      </c>
    </row>
    <row r="123" spans="2:8" ht="20.100000000000001" customHeight="1">
      <c r="B123" s="9">
        <f ca="1">IFERROR(IF(DarlehenNichtBezahlt*DarlehenIstGut,ZahlungNummer,""), "")</f>
        <v>114</v>
      </c>
      <c r="C123" s="10">
        <f ca="1">IFERROR(IF(DarlehenNichtBezahlt*DarlehenIstGut,ZahlungsDatum,""), "")</f>
        <v>47620</v>
      </c>
      <c r="D123" s="11">
        <f ca="1">IFERROR(IF(DarlehenNichtBezahlt*DarlehenIstGut,DarlehensWert,""), "")</f>
        <v>1491.891475983648</v>
      </c>
      <c r="E123" s="11">
        <f ca="1">IFERROR(IF(DarlehenNichtBezahlt*DarlehenIstGut,MonatlicheZahlung,""), "")</f>
        <v>217.05255592096145</v>
      </c>
      <c r="F123" s="11">
        <f ca="1">IFERROR(IF(DarlehenNichtBezahlt*DarlehenIstGut,Kapital,""), "")</f>
        <v>210.21471998936948</v>
      </c>
      <c r="G123" s="11">
        <f ca="1">IFERROR(IF(DarlehenNichtBezahlt*DarlehenIstGut,ZinsBetrag,""), "")</f>
        <v>6.8378359315919308</v>
      </c>
      <c r="H123" s="11">
        <f ca="1">IFERROR(IF(DarlehenNichtBezahlt*DarlehenIstGut,AbschlussSaldo,""), "")</f>
        <v>1281.6767559942746</v>
      </c>
    </row>
    <row r="124" spans="2:8" ht="20.100000000000001" customHeight="1">
      <c r="B124" s="9">
        <f ca="1">IFERROR(IF(DarlehenNichtBezahlt*DarlehenIstGut,ZahlungNummer,""), "")</f>
        <v>115</v>
      </c>
      <c r="C124" s="10">
        <f ca="1">IFERROR(IF(DarlehenNichtBezahlt*DarlehenIstGut,ZahlungsDatum,""), "")</f>
        <v>47651</v>
      </c>
      <c r="D124" s="11">
        <f ca="1">IFERROR(IF(DarlehenNichtBezahlt*DarlehenIstGut,DarlehensWert,""), "")</f>
        <v>1281.6767559942746</v>
      </c>
      <c r="E124" s="11">
        <f ca="1">IFERROR(IF(DarlehenNichtBezahlt*DarlehenIstGut,MonatlicheZahlung,""), "")</f>
        <v>217.05255592096145</v>
      </c>
      <c r="F124" s="11">
        <f ca="1">IFERROR(IF(DarlehenNichtBezahlt*DarlehenIstGut,Kapital,""), "")</f>
        <v>211.17820412265414</v>
      </c>
      <c r="G124" s="11">
        <f ca="1">IFERROR(IF(DarlehenNichtBezahlt*DarlehenIstGut,ZinsBetrag,""), "")</f>
        <v>5.8743517983073215</v>
      </c>
      <c r="H124" s="11">
        <f ca="1">IFERROR(IF(DarlehenNichtBezahlt*DarlehenIstGut,AbschlussSaldo,""), "")</f>
        <v>1070.4985518716203</v>
      </c>
    </row>
    <row r="125" spans="2:8" ht="20.100000000000001" customHeight="1">
      <c r="B125" s="9">
        <f ca="1">IFERROR(IF(DarlehenNichtBezahlt*DarlehenIstGut,ZahlungNummer,""), "")</f>
        <v>116</v>
      </c>
      <c r="C125" s="10">
        <f ca="1">IFERROR(IF(DarlehenNichtBezahlt*DarlehenIstGut,ZahlungsDatum,""), "")</f>
        <v>47681</v>
      </c>
      <c r="D125" s="11">
        <f ca="1">IFERROR(IF(DarlehenNichtBezahlt*DarlehenIstGut,DarlehensWert,""), "")</f>
        <v>1070.4985518716203</v>
      </c>
      <c r="E125" s="11">
        <f ca="1">IFERROR(IF(DarlehenNichtBezahlt*DarlehenIstGut,MonatlicheZahlung,""), "")</f>
        <v>217.05255592096145</v>
      </c>
      <c r="F125" s="11">
        <f ca="1">IFERROR(IF(DarlehenNichtBezahlt*DarlehenIstGut,Kapital,""), "")</f>
        <v>212.14610422488295</v>
      </c>
      <c r="G125" s="11">
        <f ca="1">IFERROR(IF(DarlehenNichtBezahlt*DarlehenIstGut,ZinsBetrag,""), "")</f>
        <v>4.9064516960784887</v>
      </c>
      <c r="H125" s="11">
        <f ca="1">IFERROR(IF(DarlehenNichtBezahlt*DarlehenIstGut,AbschlussSaldo,""), "")</f>
        <v>858.3524476467428</v>
      </c>
    </row>
    <row r="126" spans="2:8" ht="20.100000000000001" customHeight="1">
      <c r="B126" s="9">
        <f ca="1">IFERROR(IF(DarlehenNichtBezahlt*DarlehenIstGut,ZahlungNummer,""), "")</f>
        <v>117</v>
      </c>
      <c r="C126" s="10">
        <f ca="1">IFERROR(IF(DarlehenNichtBezahlt*DarlehenIstGut,ZahlungsDatum,""), "")</f>
        <v>47712</v>
      </c>
      <c r="D126" s="11">
        <f ca="1">IFERROR(IF(DarlehenNichtBezahlt*DarlehenIstGut,DarlehensWert,""), "")</f>
        <v>858.3524476467428</v>
      </c>
      <c r="E126" s="11">
        <f ca="1">IFERROR(IF(DarlehenNichtBezahlt*DarlehenIstGut,MonatlicheZahlung,""), "")</f>
        <v>217.05255592096145</v>
      </c>
      <c r="F126" s="11">
        <f ca="1">IFERROR(IF(DarlehenNichtBezahlt*DarlehenIstGut,Kapital,""), "")</f>
        <v>213.11844053591369</v>
      </c>
      <c r="G126" s="11">
        <f ca="1">IFERROR(IF(DarlehenNichtBezahlt*DarlehenIstGut,ZinsBetrag,""), "")</f>
        <v>3.9341153850477752</v>
      </c>
      <c r="H126" s="11">
        <f ca="1">IFERROR(IF(DarlehenNichtBezahlt*DarlehenIstGut,AbschlussSaldo,""), "")</f>
        <v>645.2340071108265</v>
      </c>
    </row>
    <row r="127" spans="2:8" ht="20.100000000000001" customHeight="1">
      <c r="B127" s="9">
        <f ca="1">IFERROR(IF(DarlehenNichtBezahlt*DarlehenIstGut,ZahlungNummer,""), "")</f>
        <v>118</v>
      </c>
      <c r="C127" s="10">
        <f ca="1">IFERROR(IF(DarlehenNichtBezahlt*DarlehenIstGut,ZahlungsDatum,""), "")</f>
        <v>47743</v>
      </c>
      <c r="D127" s="11">
        <f ca="1">IFERROR(IF(DarlehenNichtBezahlt*DarlehenIstGut,DarlehensWert,""), "")</f>
        <v>645.2340071108265</v>
      </c>
      <c r="E127" s="11">
        <f ca="1">IFERROR(IF(DarlehenNichtBezahlt*DarlehenIstGut,MonatlicheZahlung,""), "")</f>
        <v>217.05255592096145</v>
      </c>
      <c r="F127" s="11">
        <f ca="1">IFERROR(IF(DarlehenNichtBezahlt*DarlehenIstGut,Kapital,""), "")</f>
        <v>214.09523338836996</v>
      </c>
      <c r="G127" s="11">
        <f ca="1">IFERROR(IF(DarlehenNichtBezahlt*DarlehenIstGut,ZinsBetrag,""), "")</f>
        <v>2.9573225325915042</v>
      </c>
      <c r="H127" s="11">
        <f ca="1">IFERROR(IF(DarlehenNichtBezahlt*DarlehenIstGut,AbschlussSaldo,""), "")</f>
        <v>431.13877372245042</v>
      </c>
    </row>
    <row r="128" spans="2:8" ht="20.100000000000001" customHeight="1">
      <c r="B128" s="9">
        <f ca="1">IFERROR(IF(DarlehenNichtBezahlt*DarlehenIstGut,ZahlungNummer,""), "")</f>
        <v>119</v>
      </c>
      <c r="C128" s="10">
        <f ca="1">IFERROR(IF(DarlehenNichtBezahlt*DarlehenIstGut,ZahlungsDatum,""), "")</f>
        <v>47773</v>
      </c>
      <c r="D128" s="11">
        <f ca="1">IFERROR(IF(DarlehenNichtBezahlt*DarlehenIstGut,DarlehensWert,""), "")</f>
        <v>431.13877372245042</v>
      </c>
      <c r="E128" s="11">
        <f ca="1">IFERROR(IF(DarlehenNichtBezahlt*DarlehenIstGut,MonatlicheZahlung,""), "")</f>
        <v>217.05255592096145</v>
      </c>
      <c r="F128" s="11">
        <f ca="1">IFERROR(IF(DarlehenNichtBezahlt*DarlehenIstGut,Kapital,""), "")</f>
        <v>215.07650320806661</v>
      </c>
      <c r="G128" s="11">
        <f ca="1">IFERROR(IF(DarlehenNichtBezahlt*DarlehenIstGut,ZinsBetrag,""), "")</f>
        <v>1.9760527128948082</v>
      </c>
      <c r="H128" s="11">
        <f ca="1">IFERROR(IF(DarlehenNichtBezahlt*DarlehenIstGut,AbschlussSaldo,""), "")</f>
        <v>216.06227051439055</v>
      </c>
    </row>
    <row r="129" spans="2:8" ht="20.100000000000001" customHeight="1">
      <c r="B129" s="9">
        <f ca="1">IFERROR(IF(DarlehenNichtBezahlt*DarlehenIstGut,ZahlungNummer,""), "")</f>
        <v>120</v>
      </c>
      <c r="C129" s="10">
        <f ca="1">IFERROR(IF(DarlehenNichtBezahlt*DarlehenIstGut,ZahlungsDatum,""), "")</f>
        <v>47804</v>
      </c>
      <c r="D129" s="11">
        <f ca="1">IFERROR(IF(DarlehenNichtBezahlt*DarlehenIstGut,DarlehensWert,""), "")</f>
        <v>216.06227051439055</v>
      </c>
      <c r="E129" s="11">
        <f ca="1">IFERROR(IF(DarlehenNichtBezahlt*DarlehenIstGut,MonatlicheZahlung,""), "")</f>
        <v>217.05255592096145</v>
      </c>
      <c r="F129" s="11">
        <f ca="1">IFERROR(IF(DarlehenNichtBezahlt*DarlehenIstGut,Kapital,""), "")</f>
        <v>216.06227051443696</v>
      </c>
      <c r="G129" s="11">
        <f ca="1">IFERROR(IF(DarlehenNichtBezahlt*DarlehenIstGut,ZinsBetrag,""), "")</f>
        <v>0.99028540652450292</v>
      </c>
      <c r="H129" s="11">
        <f ca="1">IFERROR(IF(DarlehenNichtBezahlt*DarlehenIstGut,AbschlussSaldo,""), "")</f>
        <v>-5.0931703299283981E-11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3:D3"/>
    <mergeCell ref="F3:H3"/>
    <mergeCell ref="B1:H1"/>
    <mergeCell ref="B4:C4"/>
    <mergeCell ref="B5:C5"/>
    <mergeCell ref="B6:C6"/>
    <mergeCell ref="B7:C7"/>
    <mergeCell ref="F4:G4"/>
    <mergeCell ref="F5:G5"/>
    <mergeCell ref="F6:G6"/>
    <mergeCell ref="F7:G7"/>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2020-11-17T09:29:39Z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